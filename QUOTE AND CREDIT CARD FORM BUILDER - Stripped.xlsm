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hJones\OneDrive - Ricoh\Desktop\"/>
    </mc:Choice>
  </mc:AlternateContent>
  <xr:revisionPtr revIDLastSave="0" documentId="8_{03B65A4D-41A9-4AD1-ADAF-6C136A943323}" xr6:coauthVersionLast="47" xr6:coauthVersionMax="47" xr10:uidLastSave="{00000000-0000-0000-0000-000000000000}"/>
  <bookViews>
    <workbookView xWindow="780" yWindow="780" windowWidth="21600" windowHeight="11235" xr2:uid="{00000000-000D-0000-FFFF-FFFF00000000}"/>
  </bookViews>
  <sheets>
    <sheet name="Run Merge Buttons" sheetId="65" r:id="rId1"/>
    <sheet name="Data Entry" sheetId="6" r:id="rId2"/>
    <sheet name="New CC Form" sheetId="87" r:id="rId3"/>
    <sheet name="New Quote Form" sheetId="11" r:id="rId4"/>
    <sheet name="Quote Overflow Page" sheetId="88" r:id="rId5"/>
    <sheet name="Sheet1" sheetId="13" state="hidden" r:id="rId6"/>
  </sheets>
  <functionGroups builtInGroupCount="19"/>
  <definedNames>
    <definedName name="CAN">#REF!</definedName>
    <definedName name="_xlnm.Print_Area" localSheetId="3">'New Quote Form'!$A$1:$L$65</definedName>
    <definedName name="_xlnm.Print_Area" localSheetId="4">'Quote Overflow Page'!$A$1:$K$51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" i="87" l="1"/>
  <c r="G32" i="87" s="1"/>
  <c r="G35" i="87" s="1"/>
  <c r="N2" i="13" l="1"/>
  <c r="N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1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1" i="13"/>
  <c r="K21" i="11"/>
  <c r="I21" i="11"/>
  <c r="G21" i="11"/>
  <c r="S15" i="11"/>
  <c r="R1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S1" authorId="0" shapeId="0" xr:uid="{17526805-72CF-49BE-BA6C-72D278AD52D1}">
      <text>
        <r>
          <rPr>
            <b/>
            <sz val="9"/>
            <color indexed="81"/>
            <rFont val="Tahoma"/>
            <family val="2"/>
          </rPr>
          <t>Must Verify and choose correct CAN#</t>
        </r>
      </text>
    </comment>
    <comment ref="Y1" authorId="0" shapeId="0" xr:uid="{25E8D63C-1AAB-4EFF-9EE2-3B1905112190}">
      <text>
        <r>
          <rPr>
            <b/>
            <sz val="9"/>
            <color indexed="81"/>
            <rFont val="Tahoma"/>
            <family val="2"/>
          </rPr>
          <t>Populate current date</t>
        </r>
      </text>
    </comment>
    <comment ref="Z1" authorId="0" shapeId="0" xr:uid="{B457315D-F356-4B1A-955E-70E1466ACB7E}">
      <text>
        <r>
          <rPr>
            <b/>
            <sz val="9"/>
            <color indexed="81"/>
            <rFont val="Tahoma"/>
            <family val="2"/>
          </rPr>
          <t xml:space="preserve">REQD </t>
        </r>
        <r>
          <rPr>
            <sz val="9"/>
            <color indexed="81"/>
            <rFont val="Tahoma"/>
            <family val="2"/>
          </rPr>
          <t>when processing quote for same customer on same day to generate unique quote number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A19" authorId="0" shapeId="0" xr:uid="{B50CD40D-4F14-4B9B-9826-1CF85AFB016C}">
      <text>
        <r>
          <rPr>
            <b/>
            <sz val="9"/>
            <color indexed="81"/>
            <rFont val="Tahoma"/>
            <family val="2"/>
          </rPr>
          <t>Must Verify and choose correct CAN#</t>
        </r>
      </text>
    </comment>
    <comment ref="A25" authorId="0" shapeId="0" xr:uid="{05DC5E3F-5CCB-4208-B38C-6CCE2DE4B9BB}">
      <text>
        <r>
          <rPr>
            <b/>
            <sz val="9"/>
            <color indexed="81"/>
            <rFont val="Tahoma"/>
            <family val="2"/>
          </rPr>
          <t>Populate current date</t>
        </r>
      </text>
    </comment>
    <comment ref="A26" authorId="0" shapeId="0" xr:uid="{6759D793-578F-421B-A9C9-661D1920CE1B}">
      <text>
        <r>
          <rPr>
            <b/>
            <sz val="9"/>
            <color indexed="81"/>
            <rFont val="Tahoma"/>
            <family val="2"/>
          </rPr>
          <t xml:space="preserve">REQD </t>
        </r>
        <r>
          <rPr>
            <sz val="9"/>
            <color indexed="81"/>
            <rFont val="Tahoma"/>
            <family val="2"/>
          </rPr>
          <t>when processing quote for same customer on same day to generate unique quote number</t>
        </r>
      </text>
    </comment>
  </commentList>
</comments>
</file>

<file path=xl/sharedStrings.xml><?xml version="1.0" encoding="utf-8"?>
<sst xmlns="http://schemas.openxmlformats.org/spreadsheetml/2006/main" count="437" uniqueCount="176">
  <si>
    <t xml:space="preserve">  Customer Care Service Contract</t>
  </si>
  <si>
    <t>CUSTOMER BILL TO:</t>
  </si>
  <si>
    <t>CUSTOMER SHIP TO:</t>
  </si>
  <si>
    <t>Name:</t>
  </si>
  <si>
    <t>Address:</t>
  </si>
  <si>
    <t>City:</t>
  </si>
  <si>
    <t xml:space="preserve">State: </t>
  </si>
  <si>
    <t>Zip:</t>
  </si>
  <si>
    <t>State:</t>
  </si>
  <si>
    <t>Contact:</t>
  </si>
  <si>
    <t>Phone No.</t>
  </si>
  <si>
    <t>Base</t>
  </si>
  <si>
    <t>Usage</t>
  </si>
  <si>
    <t xml:space="preserve">Fax No. </t>
  </si>
  <si>
    <t>Fax No.</t>
  </si>
  <si>
    <t xml:space="preserve">Email: </t>
  </si>
  <si>
    <t>Email:</t>
  </si>
  <si>
    <t>POP Effective:</t>
  </si>
  <si>
    <t>thru</t>
  </si>
  <si>
    <t>BF: Base</t>
  </si>
  <si>
    <t>BF: Usage</t>
  </si>
  <si>
    <t>Quote #:</t>
  </si>
  <si>
    <t>Model</t>
  </si>
  <si>
    <t>Current Meter Reading</t>
  </si>
  <si>
    <t>Serial#</t>
  </si>
  <si>
    <t>Contract#</t>
  </si>
  <si>
    <t>Overage Rate</t>
  </si>
  <si>
    <t xml:space="preserve">            Contract Coverage Includes:</t>
  </si>
  <si>
    <t>Note:</t>
  </si>
  <si>
    <r>
      <t xml:space="preserve">           </t>
    </r>
    <r>
      <rPr>
        <b/>
        <u/>
        <sz val="9"/>
        <rFont val="Arial"/>
        <family val="2"/>
      </rPr>
      <t>Customer Satisfaction Policy</t>
    </r>
  </si>
  <si>
    <t>IN THE EVENT THE PRODUCT DOES NOT MEET THE ORIGINAL MANUFACTURER'S STATED SPECIFICATIONS WITHIN THREE YEARS OF INSTALLATION OF ANY</t>
  </si>
  <si>
    <t xml:space="preserve">    2. The customer fulfills all of the terms of this Maintenance Agreement applicable to the customer.</t>
  </si>
  <si>
    <t>problems the customer may have with the equipment.</t>
  </si>
  <si>
    <t>Maintenance Agreement contracts are non-refundable/non-transferable.  Customer must provide 30-days written notice prior to early cancellation.</t>
  </si>
  <si>
    <t>Customer Acceptance</t>
  </si>
  <si>
    <t xml:space="preserve">       I have read and understand our obligation under the terms and </t>
  </si>
  <si>
    <t>Customer Signature</t>
  </si>
  <si>
    <t>Date</t>
  </si>
  <si>
    <t xml:space="preserve">       conditions stated herein, as of the only agreement pertaining</t>
  </si>
  <si>
    <t xml:space="preserve">       to the equipment hereunder. No other agreements apply unless</t>
  </si>
  <si>
    <t xml:space="preserve">       expressly noted on the face of this agreement or in the </t>
  </si>
  <si>
    <t>Print Name</t>
  </si>
  <si>
    <t xml:space="preserve">       contracts specified.</t>
  </si>
  <si>
    <t>Contract Award Number:</t>
  </si>
  <si>
    <t xml:space="preserve">Credit Card Payment Form  </t>
  </si>
  <si>
    <t>CREDIT CARD ORDER FORM FOR</t>
  </si>
  <si>
    <t>FEDERAL GOVERNMENT ONLY</t>
  </si>
  <si>
    <t>CUSTOMER INFORMATION</t>
  </si>
  <si>
    <t>INVOICE TO</t>
  </si>
  <si>
    <t>INSTALL AT</t>
  </si>
  <si>
    <t>Acct Mgr:</t>
  </si>
  <si>
    <t>Credit Card</t>
  </si>
  <si>
    <t xml:space="preserve">       Multiple Locations Attach Details</t>
  </si>
  <si>
    <t>Term:        24mo         36mo            48mo           60mo</t>
  </si>
  <si>
    <t>Special Instructions</t>
  </si>
  <si>
    <r>
      <t>Lease Option:</t>
    </r>
    <r>
      <rPr>
        <sz val="8"/>
        <rFont val="Arial"/>
        <family val="2"/>
      </rPr>
      <t xml:space="preserve">                FMV                LTOP</t>
    </r>
  </si>
  <si>
    <t xml:space="preserve">        Check box if maintenance is included.</t>
  </si>
  <si>
    <t>Termination Ceiling Charge (TCC) Ref. #:</t>
  </si>
  <si>
    <t>MODEL / DESCRIPTION</t>
  </si>
  <si>
    <t>QTY</t>
  </si>
  <si>
    <t>UNIT PRICE</t>
  </si>
  <si>
    <t>EXTENDED PRICE</t>
  </si>
  <si>
    <t xml:space="preserve">Maintenance Cost of </t>
  </si>
  <si>
    <t xml:space="preserve">Binds to Quote# </t>
  </si>
  <si>
    <t>all copies over allowance at $ per copy</t>
  </si>
  <si>
    <t>Total Amount:</t>
  </si>
  <si>
    <t>Sub Total</t>
  </si>
  <si>
    <t>Customer Credit Card Information</t>
  </si>
  <si>
    <t>Delivery Charge</t>
  </si>
  <si>
    <r>
      <t xml:space="preserve">      </t>
    </r>
    <r>
      <rPr>
        <sz val="9"/>
        <rFont val="Arial"/>
        <family val="2"/>
      </rPr>
      <t>Mastercard          Visa            Am Expr.</t>
    </r>
  </si>
  <si>
    <t>TOTAL AMOUNT</t>
  </si>
  <si>
    <t>Date:</t>
  </si>
  <si>
    <t>Meter Admin</t>
  </si>
  <si>
    <t>MA Base</t>
  </si>
  <si>
    <t>Rental Base</t>
  </si>
  <si>
    <t>Allowance</t>
  </si>
  <si>
    <t>Meter</t>
  </si>
  <si>
    <t>Contract Award Number</t>
  </si>
  <si>
    <t>POP Start Date</t>
  </si>
  <si>
    <t>POP End Date</t>
  </si>
  <si>
    <t>Monthly</t>
  </si>
  <si>
    <t>8X5X4 GOLD Includes labor, toner and staples for compatible devices</t>
  </si>
  <si>
    <t>Name as it appears on card.</t>
  </si>
  <si>
    <t>Do not list your credit card information - Please sign and date only. Thank you.</t>
  </si>
  <si>
    <t>Credit card number &amp; expiration date.XXXXXXXXXXXXXXXXXXXXXX</t>
  </si>
  <si>
    <t xml:space="preserve">Verbal only - signature only required </t>
  </si>
  <si>
    <t>Signature**                                                 Title</t>
  </si>
  <si>
    <t>BillTo Customer Name</t>
  </si>
  <si>
    <t>BillTo Address</t>
  </si>
  <si>
    <t>BillTo Town</t>
  </si>
  <si>
    <t>BillTo State</t>
  </si>
  <si>
    <t>BillTo Zip Code</t>
  </si>
  <si>
    <t>BillTo Contact Name</t>
  </si>
  <si>
    <t>BillTo Phone Number</t>
  </si>
  <si>
    <t>BillTo Fax Number</t>
  </si>
  <si>
    <t>BillTo Email</t>
  </si>
  <si>
    <t>ShipTo Customer Name</t>
  </si>
  <si>
    <t>ShipTo Address</t>
  </si>
  <si>
    <t>ShipTo Town</t>
  </si>
  <si>
    <t>ShipTo State</t>
  </si>
  <si>
    <t>ShipTo Zip Code</t>
  </si>
  <si>
    <t>ShipTo Contact Name</t>
  </si>
  <si>
    <t>ShipTo Phone Number</t>
  </si>
  <si>
    <t>ShipTo Fax Number</t>
  </si>
  <si>
    <t>ShipTo Email</t>
  </si>
  <si>
    <t>QuoteInfo Email Address</t>
  </si>
  <si>
    <t>QuoteInfo Biller First Name</t>
  </si>
  <si>
    <t>QuoteInfo Biller Last Name</t>
  </si>
  <si>
    <t>QuoteInfo Date</t>
  </si>
  <si>
    <r>
      <t>QuoteInfo Appendix</t>
    </r>
    <r>
      <rPr>
        <b/>
        <sz val="11"/>
        <color rgb="FFFF0000"/>
        <rFont val="Arial"/>
        <family val="2"/>
      </rPr>
      <t>*</t>
    </r>
  </si>
  <si>
    <t>QuoteInfo Billers Manager Name</t>
  </si>
  <si>
    <t>QuoteInfo Quote Number</t>
  </si>
  <si>
    <t>BILLER EMAIL</t>
  </si>
  <si>
    <t>Total</t>
  </si>
  <si>
    <t>BillerFirstName</t>
  </si>
  <si>
    <t>BillerLastName</t>
  </si>
  <si>
    <t>TestEmail@nomail.com</t>
  </si>
  <si>
    <t>BillingManager</t>
  </si>
  <si>
    <t>Appendix</t>
  </si>
  <si>
    <t>Quote-Num</t>
  </si>
  <si>
    <t>BillToCustomerName</t>
  </si>
  <si>
    <t>BillToAddress</t>
  </si>
  <si>
    <t>BillToTown</t>
  </si>
  <si>
    <t>BillToState</t>
  </si>
  <si>
    <t>BillToZipCode</t>
  </si>
  <si>
    <t>BillToContactName</t>
  </si>
  <si>
    <t>BillToPhoneNumber</t>
  </si>
  <si>
    <t>BillToFaxNumber</t>
  </si>
  <si>
    <t>BillToEmail</t>
  </si>
  <si>
    <t>ShipToCustomerName</t>
  </si>
  <si>
    <t>ShipToAddress</t>
  </si>
  <si>
    <t>ShipToTown</t>
  </si>
  <si>
    <t>ShipToState</t>
  </si>
  <si>
    <t>ShipToZipCode</t>
  </si>
  <si>
    <t>ShipToContactName</t>
  </si>
  <si>
    <t>ShipToPhoneNumber</t>
  </si>
  <si>
    <t>ShipToFaxNumber</t>
  </si>
  <si>
    <t>ShipToEmail</t>
  </si>
  <si>
    <t>ContractAwardNumber</t>
  </si>
  <si>
    <t>POPStartDate</t>
  </si>
  <si>
    <t>POPEndDate</t>
  </si>
  <si>
    <t>QuoteInfoEmailAddress</t>
  </si>
  <si>
    <t>QuoteInfoBillerFirstName</t>
  </si>
  <si>
    <t>QuoteInfoBillerLastName</t>
  </si>
  <si>
    <t>QuoteInfoDate</t>
  </si>
  <si>
    <t>QuoteInfoAppendix*</t>
  </si>
  <si>
    <t>QuoteInfoBillersManagerName</t>
  </si>
  <si>
    <t>QuoteInfoQuoteNumber</t>
  </si>
  <si>
    <t>MeterAdmin</t>
  </si>
  <si>
    <t>MABase</t>
  </si>
  <si>
    <t>RentalBase</t>
  </si>
  <si>
    <t>OverageRate</t>
  </si>
  <si>
    <t>Base Frequency</t>
  </si>
  <si>
    <t>Usage Frequency</t>
  </si>
  <si>
    <t>Last Billed Read</t>
  </si>
  <si>
    <t>Current Read</t>
  </si>
  <si>
    <t>Meter Name</t>
  </si>
  <si>
    <t>Group Contract?</t>
  </si>
  <si>
    <t>Group Contract</t>
  </si>
  <si>
    <t>N</t>
  </si>
  <si>
    <t># of periods</t>
  </si>
  <si>
    <t>Total Per Period:</t>
  </si>
  <si>
    <t xml:space="preserve">  MA Base</t>
  </si>
  <si>
    <t xml:space="preserve">  Rental Base</t>
  </si>
  <si>
    <t xml:space="preserve">Phone:                         </t>
  </si>
  <si>
    <t>NEW  EQUIPMENT,  WILL REPLACE SUCH EQUIPMENT WITH A LIKE UNIT IF THE CUSTOMER MEETS THE FOLLOWING THREE CONDITIONS:</t>
  </si>
  <si>
    <t xml:space="preserve">    1. The equipment is continuously under the  Maintenance Agreement applicable to the customer.</t>
  </si>
  <si>
    <t xml:space="preserve">    3. Before requesting a replacement unit, this customer gives  the opportunity to resolve any service </t>
  </si>
  <si>
    <t xml:space="preserve">    THIS AGREEMENT SHALL NOT BE EFFECTIVE UNLESS SIGNED BY THE CUSTOMER AND  CONTRACT MANAGEMENT</t>
  </si>
  <si>
    <t>ABC Customer</t>
  </si>
  <si>
    <t>123 ABC Street</t>
  </si>
  <si>
    <t>ABC Town</t>
  </si>
  <si>
    <t>AZ</t>
  </si>
  <si>
    <t>ABC Meter Admin</t>
  </si>
  <si>
    <t>Model123</t>
  </si>
  <si>
    <t>Serial123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</si>
</sst>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00"/>
    <numFmt numFmtId="165" formatCode="&quot;$&quot;#,###,##0.0000"/>
    <numFmt numFmtId="166" formatCode="[$-409]d\-mmm\-yy;@"/>
  </numFmts>
  <fonts count="27" x14ac:knownFonts="1">
    <font>
      <sz val="10"/>
      <name val="Arial"/>
    </font>
    <font>
      <u/>
      <sz val="10"/>
      <color indexed="12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6"/>
      <name val="Arial"/>
      <family val="2"/>
    </font>
    <font>
      <sz val="8"/>
      <name val="Arial"/>
      <family val="2"/>
    </font>
    <font>
      <sz val="6"/>
      <name val="Arial"/>
      <family val="2"/>
    </font>
    <font>
      <sz val="7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10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b/>
      <sz val="11"/>
      <color indexed="12"/>
      <name val="Arial"/>
      <family val="2"/>
    </font>
    <font>
      <i/>
      <sz val="10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8"/>
      <name val="Arial Narrow"/>
      <family val="2"/>
    </font>
    <font>
      <b/>
      <u/>
      <sz val="12"/>
      <color rgb="FF0000FF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44" fontId="14" fillId="0" borderId="0" applyFont="0" applyFill="0" applyBorder="0" applyAlignment="0" applyProtection="0"/>
  </cellStyleXfs>
  <cellXfs count="231">
    <xf numFmtId="0" fontId="0" fillId="0" borderId="0" xfId="0"/>
    <xf numFmtId="0" fontId="13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3" xfId="0" applyBorder="1" applyProtection="1"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15" fillId="0" borderId="3" xfId="0" applyFont="1" applyBorder="1" applyProtection="1">
      <protection locked="0"/>
    </xf>
    <xf numFmtId="0" fontId="6" fillId="0" borderId="3" xfId="0" applyFont="1" applyBorder="1" applyProtection="1">
      <protection locked="0"/>
    </xf>
    <xf numFmtId="0" fontId="13" fillId="0" borderId="5" xfId="0" applyFont="1" applyBorder="1" applyProtection="1">
      <protection locked="0"/>
    </xf>
    <xf numFmtId="0" fontId="0" fillId="0" borderId="4" xfId="0" applyBorder="1" applyProtection="1">
      <protection locked="0"/>
    </xf>
    <xf numFmtId="0" fontId="0" fillId="4" borderId="3" xfId="0" applyFill="1" applyBorder="1" applyProtection="1">
      <protection locked="0"/>
    </xf>
    <xf numFmtId="0" fontId="0" fillId="3" borderId="0" xfId="0" applyFill="1" applyProtection="1">
      <protection locked="0"/>
    </xf>
    <xf numFmtId="44" fontId="0" fillId="0" borderId="3" xfId="2" applyFont="1" applyBorder="1" applyProtection="1">
      <protection hidden="1"/>
    </xf>
    <xf numFmtId="0" fontId="6" fillId="2" borderId="3" xfId="0" applyFont="1" applyFill="1" applyBorder="1" applyAlignment="1" applyProtection="1">
      <alignment wrapText="1"/>
      <protection hidden="1"/>
    </xf>
    <xf numFmtId="0" fontId="2" fillId="0" borderId="0" xfId="0" applyFont="1" applyProtection="1">
      <protection locked="0"/>
    </xf>
    <xf numFmtId="0" fontId="13" fillId="0" borderId="0" xfId="0" applyFont="1"/>
    <xf numFmtId="0" fontId="2" fillId="0" borderId="0" xfId="0" applyFont="1" applyProtection="1">
      <protection hidden="1"/>
    </xf>
    <xf numFmtId="0" fontId="13" fillId="0" borderId="6" xfId="0" applyFont="1" applyBorder="1" applyProtection="1">
      <protection locked="0"/>
    </xf>
    <xf numFmtId="2" fontId="0" fillId="3" borderId="0" xfId="0" applyNumberFormat="1" applyFill="1" applyProtection="1">
      <protection locked="0"/>
    </xf>
    <xf numFmtId="0" fontId="5" fillId="3" borderId="0" xfId="0" applyFont="1" applyFill="1" applyProtection="1">
      <protection locked="0"/>
    </xf>
    <xf numFmtId="0" fontId="2" fillId="3" borderId="0" xfId="0" applyFont="1" applyFill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0" fontId="3" fillId="3" borderId="0" xfId="0" applyFont="1" applyFill="1" applyProtection="1">
      <protection locked="0"/>
    </xf>
    <xf numFmtId="2" fontId="3" fillId="3" borderId="0" xfId="0" applyNumberFormat="1" applyFont="1" applyFill="1" applyProtection="1">
      <protection locked="0"/>
    </xf>
    <xf numFmtId="0" fontId="2" fillId="3" borderId="3" xfId="0" applyFont="1" applyFill="1" applyBorder="1" applyProtection="1">
      <protection locked="0"/>
    </xf>
    <xf numFmtId="0" fontId="2" fillId="3" borderId="3" xfId="0" applyFont="1" applyFill="1" applyBorder="1" applyAlignment="1" applyProtection="1">
      <alignment horizontal="right"/>
      <protection locked="0"/>
    </xf>
    <xf numFmtId="0" fontId="13" fillId="3" borderId="3" xfId="0" applyFont="1" applyFill="1" applyBorder="1" applyAlignment="1" applyProtection="1">
      <alignment horizontal="left"/>
      <protection hidden="1"/>
    </xf>
    <xf numFmtId="2" fontId="13" fillId="3" borderId="3" xfId="0" applyNumberFormat="1" applyFont="1" applyFill="1" applyBorder="1" applyProtection="1">
      <protection hidden="1"/>
    </xf>
    <xf numFmtId="0" fontId="2" fillId="3" borderId="9" xfId="0" applyFont="1" applyFill="1" applyBorder="1" applyAlignment="1" applyProtection="1">
      <alignment horizontal="center"/>
      <protection locked="0"/>
    </xf>
    <xf numFmtId="3" fontId="0" fillId="3" borderId="0" xfId="0" applyNumberFormat="1" applyFill="1" applyAlignment="1" applyProtection="1">
      <alignment horizontal="center" wrapText="1"/>
      <protection locked="0"/>
    </xf>
    <xf numFmtId="0" fontId="2" fillId="3" borderId="3" xfId="0" applyFont="1" applyFill="1" applyBorder="1" applyAlignment="1" applyProtection="1">
      <alignment horizontal="center" wrapText="1"/>
      <protection locked="0"/>
    </xf>
    <xf numFmtId="2" fontId="2" fillId="3" borderId="3" xfId="0" applyNumberFormat="1" applyFont="1" applyFill="1" applyBorder="1" applyAlignment="1" applyProtection="1">
      <alignment horizontal="center" wrapText="1"/>
      <protection hidden="1"/>
    </xf>
    <xf numFmtId="164" fontId="2" fillId="3" borderId="3" xfId="0" applyNumberFormat="1" applyFont="1" applyFill="1" applyBorder="1" applyAlignment="1" applyProtection="1">
      <alignment horizontal="left" wrapText="1"/>
      <protection locked="0"/>
    </xf>
    <xf numFmtId="0" fontId="2" fillId="3" borderId="3" xfId="0" applyFont="1" applyFill="1" applyBorder="1" applyAlignment="1" applyProtection="1">
      <alignment horizontal="center" wrapText="1"/>
      <protection hidden="1"/>
    </xf>
    <xf numFmtId="0" fontId="2" fillId="3" borderId="3" xfId="0" applyFont="1" applyFill="1" applyBorder="1" applyProtection="1">
      <protection hidden="1"/>
    </xf>
    <xf numFmtId="0" fontId="13" fillId="3" borderId="3" xfId="0" applyFont="1" applyFill="1" applyBorder="1" applyProtection="1">
      <protection locked="0"/>
    </xf>
    <xf numFmtId="0" fontId="0" fillId="3" borderId="3" xfId="0" applyFill="1" applyBorder="1" applyAlignment="1" applyProtection="1">
      <alignment horizontal="center"/>
      <protection hidden="1"/>
    </xf>
    <xf numFmtId="2" fontId="0" fillId="3" borderId="3" xfId="0" applyNumberFormat="1" applyFill="1" applyBorder="1" applyAlignment="1" applyProtection="1">
      <alignment horizontal="center" wrapText="1"/>
      <protection hidden="1"/>
    </xf>
    <xf numFmtId="165" fontId="12" fillId="3" borderId="3" xfId="0" applyNumberFormat="1" applyFont="1" applyFill="1" applyBorder="1" applyAlignment="1" applyProtection="1">
      <alignment horizontal="left" wrapText="1"/>
      <protection hidden="1"/>
    </xf>
    <xf numFmtId="0" fontId="0" fillId="3" borderId="3" xfId="0" applyFill="1" applyBorder="1" applyProtection="1">
      <protection hidden="1"/>
    </xf>
    <xf numFmtId="165" fontId="13" fillId="3" borderId="3" xfId="0" applyNumberFormat="1" applyFont="1" applyFill="1" applyBorder="1" applyAlignment="1" applyProtection="1">
      <alignment horizontal="left" wrapText="1"/>
      <protection hidden="1"/>
    </xf>
    <xf numFmtId="0" fontId="6" fillId="3" borderId="3" xfId="0" applyFont="1" applyFill="1" applyBorder="1" applyAlignment="1" applyProtection="1">
      <alignment vertical="top"/>
      <protection locked="0"/>
    </xf>
    <xf numFmtId="0" fontId="9" fillId="3" borderId="0" xfId="0" applyFont="1" applyFill="1" applyAlignment="1" applyProtection="1">
      <alignment horizontal="left"/>
      <protection locked="0"/>
    </xf>
    <xf numFmtId="0" fontId="7" fillId="3" borderId="0" xfId="0" applyFont="1" applyFill="1" applyProtection="1">
      <protection locked="0"/>
    </xf>
    <xf numFmtId="0" fontId="8" fillId="3" borderId="0" xfId="0" applyFont="1" applyFill="1" applyProtection="1">
      <protection locked="0"/>
    </xf>
    <xf numFmtId="0" fontId="11" fillId="3" borderId="0" xfId="0" applyFont="1" applyFill="1" applyProtection="1">
      <protection locked="0"/>
    </xf>
    <xf numFmtId="2" fontId="4" fillId="3" borderId="0" xfId="0" applyNumberFormat="1" applyFont="1" applyFill="1" applyProtection="1">
      <protection locked="0"/>
    </xf>
    <xf numFmtId="0" fontId="0" fillId="3" borderId="2" xfId="0" applyFill="1" applyBorder="1" applyProtection="1">
      <protection locked="0"/>
    </xf>
    <xf numFmtId="0" fontId="6" fillId="3" borderId="0" xfId="0" applyFont="1" applyFill="1" applyProtection="1">
      <protection locked="0"/>
    </xf>
    <xf numFmtId="0" fontId="13" fillId="3" borderId="0" xfId="0" applyFont="1" applyFill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3" fillId="6" borderId="0" xfId="0" applyFont="1" applyFill="1" applyProtection="1">
      <protection locked="0"/>
    </xf>
    <xf numFmtId="2" fontId="0" fillId="6" borderId="0" xfId="0" applyNumberFormat="1" applyFill="1" applyProtection="1">
      <protection locked="0"/>
    </xf>
    <xf numFmtId="3" fontId="0" fillId="6" borderId="0" xfId="0" applyNumberFormat="1" applyFill="1" applyAlignment="1" applyProtection="1">
      <alignment horizontal="center"/>
      <protection locked="0"/>
    </xf>
    <xf numFmtId="2" fontId="12" fillId="6" borderId="0" xfId="0" applyNumberFormat="1" applyFont="1" applyFill="1" applyProtection="1">
      <protection locked="0"/>
    </xf>
    <xf numFmtId="0" fontId="0" fillId="3" borderId="1" xfId="0" applyFill="1" applyBorder="1" applyProtection="1">
      <protection locked="0"/>
    </xf>
    <xf numFmtId="0" fontId="13" fillId="0" borderId="6" xfId="0" applyFont="1" applyBorder="1" applyProtection="1">
      <protection hidden="1"/>
    </xf>
    <xf numFmtId="14" fontId="0" fillId="0" borderId="6" xfId="0" applyNumberFormat="1" applyBorder="1" applyProtection="1">
      <protection hidden="1"/>
    </xf>
    <xf numFmtId="0" fontId="16" fillId="0" borderId="0" xfId="0" applyFont="1" applyProtection="1">
      <protection locked="0"/>
    </xf>
    <xf numFmtId="0" fontId="2" fillId="2" borderId="18" xfId="0" applyFont="1" applyFill="1" applyBorder="1" applyAlignment="1" applyProtection="1">
      <alignment horizontal="left" vertical="center" wrapText="1"/>
      <protection locked="0"/>
    </xf>
    <xf numFmtId="0" fontId="2" fillId="2" borderId="18" xfId="0" applyFont="1" applyFill="1" applyBorder="1" applyAlignment="1" applyProtection="1">
      <alignment horizontal="left" vertical="center"/>
      <protection locked="0"/>
    </xf>
    <xf numFmtId="0" fontId="2" fillId="5" borderId="18" xfId="0" applyFont="1" applyFill="1" applyBorder="1" applyAlignment="1" applyProtection="1">
      <alignment horizontal="left" vertical="center" wrapText="1"/>
      <protection locked="0"/>
    </xf>
    <xf numFmtId="0" fontId="2" fillId="5" borderId="18" xfId="0" applyFont="1" applyFill="1" applyBorder="1" applyAlignment="1" applyProtection="1">
      <alignment horizontal="left" vertical="center"/>
      <protection locked="0"/>
    </xf>
    <xf numFmtId="0" fontId="20" fillId="5" borderId="18" xfId="0" applyFont="1" applyFill="1" applyBorder="1" applyAlignment="1" applyProtection="1">
      <alignment horizontal="left" vertical="center"/>
      <protection locked="0"/>
    </xf>
    <xf numFmtId="0" fontId="2" fillId="8" borderId="17" xfId="0" applyFont="1" applyFill="1" applyBorder="1" applyAlignment="1" applyProtection="1">
      <alignment horizontal="left" vertical="center"/>
      <protection locked="0"/>
    </xf>
    <xf numFmtId="0" fontId="2" fillId="8" borderId="18" xfId="0" applyFont="1" applyFill="1" applyBorder="1" applyAlignment="1" applyProtection="1">
      <alignment horizontal="left" vertical="center"/>
      <protection locked="0"/>
    </xf>
    <xf numFmtId="0" fontId="2" fillId="5" borderId="16" xfId="0" applyFont="1" applyFill="1" applyBorder="1" applyAlignment="1" applyProtection="1">
      <alignment horizontal="left" vertical="center"/>
      <protection locked="0"/>
    </xf>
    <xf numFmtId="0" fontId="2" fillId="5" borderId="16" xfId="0" applyFont="1" applyFill="1" applyBorder="1" applyAlignment="1" applyProtection="1">
      <alignment horizontal="left" vertical="center" wrapText="1"/>
      <protection locked="0"/>
    </xf>
    <xf numFmtId="44" fontId="2" fillId="5" borderId="16" xfId="0" applyNumberFormat="1" applyFont="1" applyFill="1" applyBorder="1" applyAlignment="1" applyProtection="1">
      <alignment horizontal="left" vertical="center" wrapText="1"/>
      <protection locked="0"/>
    </xf>
    <xf numFmtId="164" fontId="2" fillId="5" borderId="16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4" fontId="0" fillId="0" borderId="0" xfId="0" applyNumberFormat="1"/>
    <xf numFmtId="0" fontId="1" fillId="0" borderId="0" xfId="1" applyAlignment="1" applyProtection="1"/>
    <xf numFmtId="0" fontId="0" fillId="2" borderId="0" xfId="0" applyFill="1"/>
    <xf numFmtId="0" fontId="0" fillId="6" borderId="0" xfId="0" applyFill="1"/>
    <xf numFmtId="0" fontId="13" fillId="3" borderId="5" xfId="0" applyFont="1" applyFill="1" applyBorder="1" applyAlignment="1" applyProtection="1">
      <alignment horizontal="center"/>
      <protection hidden="1"/>
    </xf>
    <xf numFmtId="0" fontId="13" fillId="3" borderId="6" xfId="0" applyFont="1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hidden="1"/>
    </xf>
    <xf numFmtId="0" fontId="6" fillId="0" borderId="0" xfId="0" applyFont="1" applyAlignment="1" applyProtection="1">
      <alignment wrapText="1"/>
      <protection locked="0"/>
    </xf>
    <xf numFmtId="0" fontId="0" fillId="0" borderId="13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2" xfId="0" applyBorder="1" applyProtection="1">
      <protection locked="0"/>
    </xf>
    <xf numFmtId="0" fontId="2" fillId="0" borderId="3" xfId="0" applyFont="1" applyBorder="1" applyAlignment="1" applyProtection="1">
      <alignment horizontal="right"/>
      <protection locked="0"/>
    </xf>
    <xf numFmtId="0" fontId="6" fillId="2" borderId="10" xfId="0" applyFont="1" applyFill="1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6" fillId="2" borderId="11" xfId="0" applyFont="1" applyFill="1" applyBorder="1" applyAlignment="1" applyProtection="1">
      <alignment horizontal="left"/>
      <protection locked="0"/>
    </xf>
    <xf numFmtId="0" fontId="0" fillId="2" borderId="13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9" fillId="0" borderId="10" xfId="0" applyFont="1" applyBorder="1" applyAlignment="1" applyProtection="1">
      <alignment wrapText="1"/>
      <protection locked="0"/>
    </xf>
    <xf numFmtId="0" fontId="9" fillId="0" borderId="11" xfId="0" applyFont="1" applyBorder="1" applyAlignment="1" applyProtection="1">
      <alignment wrapText="1"/>
      <protection locked="0"/>
    </xf>
    <xf numFmtId="0" fontId="9" fillId="0" borderId="14" xfId="0" applyFont="1" applyBorder="1" applyAlignment="1" applyProtection="1">
      <alignment wrapText="1"/>
      <protection locked="0"/>
    </xf>
    <xf numFmtId="0" fontId="9" fillId="0" borderId="15" xfId="0" applyFont="1" applyBorder="1" applyAlignment="1" applyProtection="1">
      <alignment wrapText="1"/>
      <protection locked="0"/>
    </xf>
    <xf numFmtId="0" fontId="9" fillId="0" borderId="13" xfId="0" applyFont="1" applyBorder="1" applyAlignment="1" applyProtection="1">
      <alignment wrapText="1"/>
      <protection locked="0"/>
    </xf>
    <xf numFmtId="0" fontId="9" fillId="0" borderId="12" xfId="0" applyFont="1" applyBorder="1" applyAlignment="1" applyProtection="1">
      <alignment wrapText="1"/>
      <protection locked="0"/>
    </xf>
    <xf numFmtId="0" fontId="6" fillId="2" borderId="10" xfId="0" applyFont="1" applyFill="1" applyBorder="1" applyProtection="1">
      <protection locked="0"/>
    </xf>
    <xf numFmtId="0" fontId="6" fillId="2" borderId="1" xfId="0" applyFont="1" applyFill="1" applyBorder="1" applyProtection="1">
      <protection locked="0"/>
    </xf>
    <xf numFmtId="0" fontId="6" fillId="2" borderId="11" xfId="0" applyFont="1" applyFill="1" applyBorder="1" applyProtection="1">
      <protection locked="0"/>
    </xf>
    <xf numFmtId="0" fontId="2" fillId="2" borderId="13" xfId="0" applyFont="1" applyFill="1" applyBorder="1" applyProtection="1">
      <protection locked="0"/>
    </xf>
    <xf numFmtId="0" fontId="2" fillId="2" borderId="2" xfId="0" applyFont="1" applyFill="1" applyBorder="1" applyProtection="1">
      <protection locked="0"/>
    </xf>
    <xf numFmtId="0" fontId="2" fillId="2" borderId="12" xfId="0" applyFont="1" applyFill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0" xfId="0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4" xfId="0" applyFont="1" applyFill="1" applyBorder="1" applyProtection="1">
      <protection locked="0"/>
    </xf>
    <xf numFmtId="0" fontId="6" fillId="2" borderId="6" xfId="0" applyFont="1" applyFill="1" applyBorder="1" applyProtection="1">
      <protection locked="0"/>
    </xf>
    <xf numFmtId="0" fontId="2" fillId="0" borderId="10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6" fillId="0" borderId="5" xfId="0" applyFont="1" applyBorder="1" applyProtection="1">
      <protection locked="0"/>
    </xf>
    <xf numFmtId="0" fontId="6" fillId="0" borderId="6" xfId="0" applyFont="1" applyBorder="1" applyProtection="1">
      <protection locked="0"/>
    </xf>
    <xf numFmtId="0" fontId="0" fillId="0" borderId="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6" xfId="0" applyBorder="1" applyProtection="1">
      <protection locked="0"/>
    </xf>
    <xf numFmtId="0" fontId="17" fillId="0" borderId="5" xfId="0" applyFont="1" applyBorder="1" applyProtection="1"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left"/>
      <protection locked="0"/>
    </xf>
    <xf numFmtId="0" fontId="13" fillId="0" borderId="4" xfId="0" applyFont="1" applyBorder="1" applyAlignment="1" applyProtection="1">
      <alignment horizontal="left"/>
      <protection locked="0"/>
    </xf>
    <xf numFmtId="0" fontId="12" fillId="0" borderId="10" xfId="0" applyFont="1" applyBorder="1" applyAlignment="1" applyProtection="1">
      <alignment horizontal="center" wrapText="1"/>
      <protection hidden="1"/>
    </xf>
    <xf numFmtId="0" fontId="12" fillId="0" borderId="1" xfId="0" applyFont="1" applyBorder="1" applyAlignment="1" applyProtection="1">
      <alignment horizontal="center" wrapText="1"/>
      <protection hidden="1"/>
    </xf>
    <xf numFmtId="0" fontId="12" fillId="0" borderId="11" xfId="0" applyFont="1" applyBorder="1" applyAlignment="1" applyProtection="1">
      <alignment horizontal="center" wrapText="1"/>
      <protection hidden="1"/>
    </xf>
    <xf numFmtId="0" fontId="12" fillId="0" borderId="14" xfId="0" applyFont="1" applyBorder="1" applyAlignment="1" applyProtection="1">
      <alignment horizontal="center" wrapText="1"/>
      <protection hidden="1"/>
    </xf>
    <xf numFmtId="0" fontId="12" fillId="0" borderId="0" xfId="0" applyFont="1" applyAlignment="1" applyProtection="1">
      <alignment horizontal="center" wrapText="1"/>
      <protection hidden="1"/>
    </xf>
    <xf numFmtId="0" fontId="12" fillId="0" borderId="15" xfId="0" applyFont="1" applyBorder="1" applyAlignment="1" applyProtection="1">
      <alignment horizontal="center" wrapText="1"/>
      <protection hidden="1"/>
    </xf>
    <xf numFmtId="0" fontId="12" fillId="0" borderId="13" xfId="0" applyFont="1" applyBorder="1" applyAlignment="1" applyProtection="1">
      <alignment horizontal="center" wrapText="1"/>
      <protection hidden="1"/>
    </xf>
    <xf numFmtId="0" fontId="12" fillId="0" borderId="2" xfId="0" applyFont="1" applyBorder="1" applyAlignment="1" applyProtection="1">
      <alignment horizontal="center" wrapText="1"/>
      <protection hidden="1"/>
    </xf>
    <xf numFmtId="0" fontId="12" fillId="0" borderId="12" xfId="0" applyFont="1" applyBorder="1" applyAlignment="1" applyProtection="1">
      <alignment horizontal="center" wrapText="1"/>
      <protection hidden="1"/>
    </xf>
    <xf numFmtId="0" fontId="2" fillId="0" borderId="5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6" xfId="0" applyFont="1" applyBorder="1" applyAlignment="1" applyProtection="1">
      <alignment horizontal="left"/>
      <protection locked="0"/>
    </xf>
    <xf numFmtId="0" fontId="19" fillId="0" borderId="10" xfId="0" applyFont="1" applyBorder="1" applyAlignment="1" applyProtection="1">
      <alignment wrapText="1"/>
      <protection hidden="1"/>
    </xf>
    <xf numFmtId="0" fontId="19" fillId="0" borderId="1" xfId="0" applyFont="1" applyBorder="1" applyAlignment="1" applyProtection="1">
      <alignment wrapText="1"/>
      <protection hidden="1"/>
    </xf>
    <xf numFmtId="0" fontId="19" fillId="0" borderId="11" xfId="0" applyFont="1" applyBorder="1" applyAlignment="1" applyProtection="1">
      <alignment wrapText="1"/>
      <protection hidden="1"/>
    </xf>
    <xf numFmtId="0" fontId="19" fillId="0" borderId="13" xfId="0" applyFont="1" applyBorder="1" applyAlignment="1" applyProtection="1">
      <alignment wrapText="1"/>
      <protection hidden="1"/>
    </xf>
    <xf numFmtId="0" fontId="19" fillId="0" borderId="2" xfId="0" applyFont="1" applyBorder="1" applyAlignment="1" applyProtection="1">
      <alignment wrapText="1"/>
      <protection hidden="1"/>
    </xf>
    <xf numFmtId="0" fontId="19" fillId="0" borderId="12" xfId="0" applyFont="1" applyBorder="1" applyAlignment="1" applyProtection="1">
      <alignment wrapText="1"/>
      <protection hidden="1"/>
    </xf>
    <xf numFmtId="0" fontId="2" fillId="0" borderId="0" xfId="0" applyFont="1" applyProtection="1">
      <protection locked="0"/>
    </xf>
    <xf numFmtId="0" fontId="16" fillId="0" borderId="0" xfId="0" applyFont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0" fillId="0" borderId="0" xfId="0"/>
    <xf numFmtId="0" fontId="18" fillId="0" borderId="10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8" fillId="0" borderId="11" xfId="0" applyFont="1" applyBorder="1" applyProtection="1">
      <protection locked="0"/>
    </xf>
    <xf numFmtId="0" fontId="18" fillId="0" borderId="13" xfId="0" applyFont="1" applyBorder="1" applyProtection="1">
      <protection locked="0"/>
    </xf>
    <xf numFmtId="0" fontId="18" fillId="0" borderId="2" xfId="0" applyFont="1" applyBorder="1" applyProtection="1">
      <protection locked="0"/>
    </xf>
    <xf numFmtId="0" fontId="18" fillId="0" borderId="12" xfId="0" applyFont="1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" fillId="0" borderId="5" xfId="0" applyFont="1" applyBorder="1" applyAlignment="1" applyProtection="1">
      <alignment horizontal="center"/>
      <protection locked="0"/>
    </xf>
    <xf numFmtId="0" fontId="2" fillId="0" borderId="6" xfId="0" applyFont="1" applyBorder="1" applyAlignment="1" applyProtection="1">
      <alignment horizontal="center"/>
      <protection locked="0"/>
    </xf>
    <xf numFmtId="0" fontId="2" fillId="0" borderId="10" xfId="0" applyFont="1" applyBorder="1" applyAlignment="1" applyProtection="1">
      <alignment horizontal="center" wrapText="1"/>
      <protection locked="0"/>
    </xf>
    <xf numFmtId="0" fontId="2" fillId="0" borderId="1" xfId="0" applyFont="1" applyBorder="1" applyAlignment="1" applyProtection="1">
      <alignment horizontal="center" wrapText="1"/>
      <protection locked="0"/>
    </xf>
    <xf numFmtId="0" fontId="2" fillId="0" borderId="11" xfId="0" applyFont="1" applyBorder="1" applyAlignment="1" applyProtection="1">
      <alignment horizontal="center" wrapText="1"/>
      <protection locked="0"/>
    </xf>
    <xf numFmtId="0" fontId="2" fillId="0" borderId="14" xfId="0" applyFont="1" applyBorder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15" xfId="0" applyFont="1" applyBorder="1" applyAlignment="1" applyProtection="1">
      <alignment horizontal="center" wrapText="1"/>
      <protection locked="0"/>
    </xf>
    <xf numFmtId="0" fontId="2" fillId="0" borderId="13" xfId="0" applyFont="1" applyBorder="1" applyAlignment="1" applyProtection="1">
      <alignment horizontal="center" wrapText="1"/>
      <protection locked="0"/>
    </xf>
    <xf numFmtId="0" fontId="2" fillId="0" borderId="2" xfId="0" applyFont="1" applyBorder="1" applyAlignment="1" applyProtection="1">
      <alignment horizontal="center" wrapText="1"/>
      <protection locked="0"/>
    </xf>
    <xf numFmtId="0" fontId="2" fillId="0" borderId="12" xfId="0" applyFont="1" applyBorder="1" applyAlignment="1" applyProtection="1">
      <alignment horizontal="center" wrapText="1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13" fillId="0" borderId="5" xfId="0" applyFont="1" applyBorder="1" applyProtection="1">
      <protection locked="0"/>
    </xf>
    <xf numFmtId="0" fontId="2" fillId="7" borderId="1" xfId="0" applyFont="1" applyFill="1" applyBorder="1" applyAlignment="1" applyProtection="1">
      <alignment horizontal="center"/>
      <protection locked="0"/>
    </xf>
    <xf numFmtId="0" fontId="13" fillId="3" borderId="0" xfId="0" applyFont="1" applyFill="1" applyAlignment="1" applyProtection="1">
      <alignment horizontal="center"/>
      <protection locked="0"/>
    </xf>
    <xf numFmtId="0" fontId="13" fillId="3" borderId="5" xfId="0" applyFont="1" applyFill="1" applyBorder="1" applyAlignment="1" applyProtection="1">
      <alignment horizontal="center"/>
      <protection hidden="1"/>
    </xf>
    <xf numFmtId="0" fontId="13" fillId="3" borderId="6" xfId="0" applyFont="1" applyFill="1" applyBorder="1" applyAlignment="1" applyProtection="1">
      <alignment horizontal="center"/>
      <protection hidden="1"/>
    </xf>
    <xf numFmtId="44" fontId="0" fillId="3" borderId="5" xfId="0" applyNumberFormat="1" applyFill="1" applyBorder="1" applyAlignment="1" applyProtection="1">
      <alignment horizontal="center"/>
      <protection hidden="1"/>
    </xf>
    <xf numFmtId="44" fontId="0" fillId="3" borderId="6" xfId="0" applyNumberFormat="1" applyFill="1" applyBorder="1" applyAlignment="1" applyProtection="1">
      <alignment horizontal="center"/>
      <protection hidden="1"/>
    </xf>
    <xf numFmtId="0" fontId="13" fillId="3" borderId="3" xfId="0" applyFont="1" applyFill="1" applyBorder="1" applyAlignment="1" applyProtection="1">
      <alignment horizontal="center" wrapText="1"/>
      <protection locked="0"/>
    </xf>
    <xf numFmtId="0" fontId="13" fillId="3" borderId="3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24" fillId="3" borderId="0" xfId="0" applyFont="1" applyFill="1" applyAlignment="1" applyProtection="1">
      <alignment horizontal="center" vertical="center"/>
      <protection hidden="1"/>
    </xf>
    <xf numFmtId="0" fontId="24" fillId="3" borderId="2" xfId="0" applyFont="1" applyFill="1" applyBorder="1" applyAlignment="1" applyProtection="1">
      <alignment horizontal="center" vertical="center"/>
      <protection hidden="1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/>
      <protection locked="0"/>
    </xf>
    <xf numFmtId="0" fontId="2" fillId="3" borderId="12" xfId="0" applyFont="1" applyFill="1" applyBorder="1" applyAlignment="1" applyProtection="1">
      <alignment horizontal="center" vertical="center"/>
      <protection locked="0"/>
    </xf>
    <xf numFmtId="0" fontId="16" fillId="3" borderId="10" xfId="0" applyFont="1" applyFill="1" applyBorder="1" applyAlignment="1" applyProtection="1">
      <alignment horizontal="center" vertical="center"/>
      <protection locked="0"/>
    </xf>
    <xf numFmtId="0" fontId="16" fillId="3" borderId="1" xfId="0" applyFont="1" applyFill="1" applyBorder="1" applyAlignment="1" applyProtection="1">
      <alignment horizontal="center" vertical="center"/>
      <protection locked="0"/>
    </xf>
    <xf numFmtId="0" fontId="16" fillId="3" borderId="11" xfId="0" applyFont="1" applyFill="1" applyBorder="1" applyAlignment="1" applyProtection="1">
      <alignment horizontal="center" vertical="center"/>
      <protection locked="0"/>
    </xf>
    <xf numFmtId="0" fontId="16" fillId="3" borderId="13" xfId="0" applyFont="1" applyFill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16" fillId="3" borderId="12" xfId="0" applyFont="1" applyFill="1" applyBorder="1" applyAlignment="1" applyProtection="1">
      <alignment horizontal="center" vertical="center"/>
      <protection locked="0"/>
    </xf>
    <xf numFmtId="2" fontId="2" fillId="3" borderId="7" xfId="0" applyNumberFormat="1" applyFont="1" applyFill="1" applyBorder="1" applyAlignment="1" applyProtection="1">
      <alignment horizontal="center" vertical="center"/>
      <protection locked="0"/>
    </xf>
    <xf numFmtId="2" fontId="2" fillId="3" borderId="8" xfId="0" applyNumberFormat="1" applyFont="1" applyFill="1" applyBorder="1" applyAlignment="1" applyProtection="1">
      <alignment horizontal="center" vertical="center"/>
      <protection locked="0"/>
    </xf>
    <xf numFmtId="2" fontId="2" fillId="3" borderId="9" xfId="0" applyNumberFormat="1" applyFont="1" applyFill="1" applyBorder="1" applyAlignment="1" applyProtection="1">
      <alignment horizontal="center" vertical="center"/>
      <protection locked="0"/>
    </xf>
    <xf numFmtId="0" fontId="6" fillId="3" borderId="10" xfId="0" applyFont="1" applyFill="1" applyBorder="1" applyAlignment="1" applyProtection="1">
      <alignment horizontal="center" wrapText="1"/>
      <protection hidden="1"/>
    </xf>
    <xf numFmtId="0" fontId="6" fillId="3" borderId="1" xfId="0" applyFont="1" applyFill="1" applyBorder="1" applyAlignment="1" applyProtection="1">
      <alignment horizontal="center" wrapText="1"/>
      <protection hidden="1"/>
    </xf>
    <xf numFmtId="0" fontId="6" fillId="3" borderId="11" xfId="0" applyFont="1" applyFill="1" applyBorder="1" applyAlignment="1" applyProtection="1">
      <alignment horizontal="center" wrapText="1"/>
      <protection hidden="1"/>
    </xf>
    <xf numFmtId="0" fontId="6" fillId="3" borderId="14" xfId="0" applyFont="1" applyFill="1" applyBorder="1" applyAlignment="1" applyProtection="1">
      <alignment horizontal="center" wrapText="1"/>
      <protection hidden="1"/>
    </xf>
    <xf numFmtId="0" fontId="6" fillId="3" borderId="0" xfId="0" applyFont="1" applyFill="1" applyAlignment="1" applyProtection="1">
      <alignment horizontal="center" wrapText="1"/>
      <protection hidden="1"/>
    </xf>
    <xf numFmtId="0" fontId="6" fillId="3" borderId="15" xfId="0" applyFont="1" applyFill="1" applyBorder="1" applyAlignment="1" applyProtection="1">
      <alignment horizontal="center" wrapText="1"/>
      <protection hidden="1"/>
    </xf>
    <xf numFmtId="0" fontId="6" fillId="3" borderId="13" xfId="0" applyFont="1" applyFill="1" applyBorder="1" applyAlignment="1" applyProtection="1">
      <alignment horizontal="center" wrapText="1"/>
      <protection hidden="1"/>
    </xf>
    <xf numFmtId="0" fontId="6" fillId="3" borderId="2" xfId="0" applyFont="1" applyFill="1" applyBorder="1" applyAlignment="1" applyProtection="1">
      <alignment horizontal="center" wrapText="1"/>
      <protection hidden="1"/>
    </xf>
    <xf numFmtId="0" fontId="6" fillId="3" borderId="12" xfId="0" applyFont="1" applyFill="1" applyBorder="1" applyAlignment="1" applyProtection="1">
      <alignment horizontal="center" wrapText="1"/>
      <protection hidden="1"/>
    </xf>
    <xf numFmtId="0" fontId="2" fillId="3" borderId="5" xfId="0" applyFont="1" applyFill="1" applyBorder="1" applyAlignment="1" applyProtection="1">
      <alignment horizontal="center" wrapText="1"/>
      <protection locked="0"/>
    </xf>
    <xf numFmtId="0" fontId="2" fillId="3" borderId="6" xfId="0" applyFont="1" applyFill="1" applyBorder="1" applyAlignment="1" applyProtection="1">
      <alignment horizontal="center" wrapText="1"/>
      <protection locked="0"/>
    </xf>
    <xf numFmtId="44" fontId="2" fillId="3" borderId="5" xfId="0" applyNumberFormat="1" applyFont="1" applyFill="1" applyBorder="1" applyAlignment="1" applyProtection="1">
      <alignment horizontal="center" wrapText="1"/>
      <protection hidden="1"/>
    </xf>
    <xf numFmtId="44" fontId="2" fillId="3" borderId="6" xfId="0" applyNumberFormat="1" applyFont="1" applyFill="1" applyBorder="1" applyAlignment="1" applyProtection="1">
      <alignment horizontal="center" wrapText="1"/>
      <protection hidden="1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3" borderId="7" xfId="0" applyFont="1" applyFill="1" applyBorder="1" applyAlignment="1" applyProtection="1">
      <alignment horizontal="center" wrapText="1"/>
      <protection locked="0"/>
    </xf>
    <xf numFmtId="0" fontId="2" fillId="3" borderId="8" xfId="0" applyFont="1" applyFill="1" applyBorder="1" applyAlignment="1" applyProtection="1">
      <alignment horizontal="center" wrapText="1"/>
      <protection locked="0"/>
    </xf>
    <xf numFmtId="0" fontId="2" fillId="3" borderId="9" xfId="0" applyFont="1" applyFill="1" applyBorder="1" applyAlignment="1" applyProtection="1">
      <alignment horizontal="center" wrapText="1"/>
      <protection locked="0"/>
    </xf>
    <xf numFmtId="166" fontId="0" fillId="3" borderId="10" xfId="0" applyNumberFormat="1" applyFill="1" applyBorder="1" applyAlignment="1" applyProtection="1">
      <alignment horizontal="center"/>
      <protection locked="0"/>
    </xf>
    <xf numFmtId="166" fontId="0" fillId="3" borderId="14" xfId="0" applyNumberFormat="1" applyFill="1" applyBorder="1" applyAlignment="1" applyProtection="1">
      <alignment horizontal="center"/>
      <protection locked="0"/>
    </xf>
    <xf numFmtId="166" fontId="0" fillId="3" borderId="13" xfId="0" applyNumberFormat="1" applyFill="1" applyBorder="1" applyAlignment="1" applyProtection="1">
      <alignment horizontal="center"/>
      <protection locked="0"/>
    </xf>
    <xf numFmtId="0" fontId="13" fillId="3" borderId="1" xfId="0" applyFont="1" applyFill="1" applyBorder="1" applyAlignment="1" applyProtection="1">
      <alignment horizontal="center" vertical="center" textRotation="90"/>
      <protection locked="0"/>
    </xf>
    <xf numFmtId="0" fontId="13" fillId="3" borderId="0" xfId="0" applyFont="1" applyFill="1" applyAlignment="1" applyProtection="1">
      <alignment horizontal="center" vertical="center" textRotation="90"/>
      <protection locked="0"/>
    </xf>
    <xf numFmtId="0" fontId="13" fillId="3" borderId="2" xfId="0" applyFont="1" applyFill="1" applyBorder="1" applyAlignment="1" applyProtection="1">
      <alignment horizontal="center" vertical="center" textRotation="90"/>
      <protection locked="0"/>
    </xf>
    <xf numFmtId="166" fontId="0" fillId="3" borderId="11" xfId="0" applyNumberFormat="1" applyFill="1" applyBorder="1" applyAlignment="1" applyProtection="1">
      <alignment horizontal="center"/>
      <protection locked="0"/>
    </xf>
    <xf numFmtId="166" fontId="0" fillId="3" borderId="15" xfId="0" applyNumberFormat="1" applyFill="1" applyBorder="1" applyAlignment="1" applyProtection="1">
      <alignment horizontal="center"/>
      <protection locked="0"/>
    </xf>
    <xf numFmtId="166" fontId="0" fillId="3" borderId="12" xfId="0" applyNumberFormat="1" applyFill="1" applyBorder="1" applyAlignment="1" applyProtection="1">
      <alignment horizontal="center"/>
      <protection locked="0"/>
    </xf>
    <xf numFmtId="0" fontId="13" fillId="3" borderId="4" xfId="0" applyFont="1" applyFill="1" applyBorder="1" applyAlignment="1" applyProtection="1">
      <alignment horizontal="center"/>
      <protection hidden="1"/>
    </xf>
    <xf numFmtId="0" fontId="13" fillId="3" borderId="3" xfId="0" applyFont="1" applyFill="1" applyBorder="1" applyAlignment="1" applyProtection="1">
      <alignment horizontal="center"/>
      <protection hidden="1"/>
    </xf>
    <xf numFmtId="0" fontId="2" fillId="3" borderId="0" xfId="0" applyFont="1" applyFill="1" applyAlignment="1" applyProtection="1">
      <alignment horizontal="center" vertical="center" wrapText="1"/>
      <protection locked="0"/>
    </xf>
    <xf numFmtId="0" fontId="25" fillId="3" borderId="0" xfId="1" applyFont="1" applyFill="1" applyAlignment="1" applyProtection="1">
      <alignment horizontal="center" vertical="center" wrapText="1"/>
      <protection locked="0"/>
    </xf>
    <xf numFmtId="0" fontId="13" fillId="3" borderId="5" xfId="0" applyFont="1" applyFill="1" applyBorder="1" applyAlignment="1" applyProtection="1">
      <alignment horizontal="center" wrapText="1"/>
      <protection hidden="1"/>
    </xf>
    <xf numFmtId="0" fontId="13" fillId="3" borderId="4" xfId="0" applyFont="1" applyFill="1" applyBorder="1" applyAlignment="1" applyProtection="1">
      <alignment horizontal="center" wrapText="1"/>
      <protection hidden="1"/>
    </xf>
    <xf numFmtId="0" fontId="13" fillId="3" borderId="6" xfId="0" applyFont="1" applyFill="1" applyBorder="1" applyAlignment="1" applyProtection="1">
      <alignment horizontal="center" wrapText="1"/>
      <protection hidden="1"/>
    </xf>
  </cellXfs>
  <cellStyles count="3">
    <cellStyle name="Currency 2" xfId="2" xr:uid="{00000000-0005-0000-0000-000001000000}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8</xdr:col>
          <xdr:colOff>457200</xdr:colOff>
          <xdr:row>12</xdr:row>
          <xdr:rowOff>161925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5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Mass Mail 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9525</xdr:rowOff>
        </xdr:from>
        <xdr:to>
          <xdr:col>8</xdr:col>
          <xdr:colOff>438150</xdr:colOff>
          <xdr:row>25</xdr:row>
          <xdr:rowOff>152400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5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Selected Tabs To One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20</xdr:row>
      <xdr:rowOff>19050</xdr:rowOff>
    </xdr:from>
    <xdr:to>
      <xdr:col>1</xdr:col>
      <xdr:colOff>228600</xdr:colOff>
      <xdr:row>20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382905" y="4196715"/>
          <a:ext cx="140970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76200</xdr:colOff>
      <xdr:row>34</xdr:row>
      <xdr:rowOff>28575</xdr:rowOff>
    </xdr:from>
    <xdr:to>
      <xdr:col>1</xdr:col>
      <xdr:colOff>200025</xdr:colOff>
      <xdr:row>34</xdr:row>
      <xdr:rowOff>123825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371475" y="6589395"/>
          <a:ext cx="12573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190500</xdr:colOff>
      <xdr:row>34</xdr:row>
      <xdr:rowOff>28575</xdr:rowOff>
    </xdr:from>
    <xdr:to>
      <xdr:col>2</xdr:col>
      <xdr:colOff>333375</xdr:colOff>
      <xdr:row>34</xdr:row>
      <xdr:rowOff>123825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209675" y="6589395"/>
          <a:ext cx="14097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76200</xdr:colOff>
      <xdr:row>34</xdr:row>
      <xdr:rowOff>38100</xdr:rowOff>
    </xdr:from>
    <xdr:to>
      <xdr:col>3</xdr:col>
      <xdr:colOff>238125</xdr:colOff>
      <xdr:row>34</xdr:row>
      <xdr:rowOff>133350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800225" y="6600825"/>
          <a:ext cx="163830" cy="9144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76200</xdr:colOff>
      <xdr:row>16</xdr:row>
      <xdr:rowOff>104775</xdr:rowOff>
    </xdr:from>
    <xdr:to>
      <xdr:col>6</xdr:col>
      <xdr:colOff>200025</xdr:colOff>
      <xdr:row>16</xdr:row>
      <xdr:rowOff>257175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5324475" y="3408045"/>
          <a:ext cx="12573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266700</xdr:colOff>
      <xdr:row>18</xdr:row>
      <xdr:rowOff>66675</xdr:rowOff>
    </xdr:from>
    <xdr:to>
      <xdr:col>2</xdr:col>
      <xdr:colOff>361950</xdr:colOff>
      <xdr:row>18</xdr:row>
      <xdr:rowOff>161925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1285875" y="3884295"/>
          <a:ext cx="9144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219075</xdr:colOff>
      <xdr:row>18</xdr:row>
      <xdr:rowOff>57150</xdr:rowOff>
    </xdr:from>
    <xdr:to>
      <xdr:col>3</xdr:col>
      <xdr:colOff>314325</xdr:colOff>
      <xdr:row>18</xdr:row>
      <xdr:rowOff>152400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941195" y="3872865"/>
          <a:ext cx="9906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628650</xdr:colOff>
      <xdr:row>17</xdr:row>
      <xdr:rowOff>104775</xdr:rowOff>
    </xdr:from>
    <xdr:to>
      <xdr:col>3</xdr:col>
      <xdr:colOff>723900</xdr:colOff>
      <xdr:row>17</xdr:row>
      <xdr:rowOff>200025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2348865" y="3693795"/>
          <a:ext cx="9906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76200</xdr:colOff>
      <xdr:row>17</xdr:row>
      <xdr:rowOff>95250</xdr:rowOff>
    </xdr:from>
    <xdr:to>
      <xdr:col>3</xdr:col>
      <xdr:colOff>171450</xdr:colOff>
      <xdr:row>17</xdr:row>
      <xdr:rowOff>190500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1800225" y="3682365"/>
          <a:ext cx="9144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17</xdr:row>
      <xdr:rowOff>104775</xdr:rowOff>
    </xdr:from>
    <xdr:to>
      <xdr:col>1</xdr:col>
      <xdr:colOff>457200</xdr:colOff>
      <xdr:row>17</xdr:row>
      <xdr:rowOff>200025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653415" y="3693795"/>
          <a:ext cx="9906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17</xdr:row>
      <xdr:rowOff>95250</xdr:rowOff>
    </xdr:from>
    <xdr:to>
      <xdr:col>2</xdr:col>
      <xdr:colOff>266700</xdr:colOff>
      <xdr:row>17</xdr:row>
      <xdr:rowOff>190500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1186815" y="3682365"/>
          <a:ext cx="9906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85725</xdr:colOff>
      <xdr:row>20</xdr:row>
      <xdr:rowOff>19050</xdr:rowOff>
    </xdr:from>
    <xdr:to>
      <xdr:col>1</xdr:col>
      <xdr:colOff>228600</xdr:colOff>
      <xdr:row>20</xdr:row>
      <xdr:rowOff>133350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382905" y="4196715"/>
          <a:ext cx="140970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76200</xdr:colOff>
      <xdr:row>34</xdr:row>
      <xdr:rowOff>28575</xdr:rowOff>
    </xdr:from>
    <xdr:to>
      <xdr:col>1</xdr:col>
      <xdr:colOff>200025</xdr:colOff>
      <xdr:row>34</xdr:row>
      <xdr:rowOff>123825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371475" y="6589395"/>
          <a:ext cx="12573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190500</xdr:colOff>
      <xdr:row>34</xdr:row>
      <xdr:rowOff>28575</xdr:rowOff>
    </xdr:from>
    <xdr:to>
      <xdr:col>2</xdr:col>
      <xdr:colOff>333375</xdr:colOff>
      <xdr:row>34</xdr:row>
      <xdr:rowOff>123825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1209675" y="6589395"/>
          <a:ext cx="14097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76200</xdr:colOff>
      <xdr:row>34</xdr:row>
      <xdr:rowOff>38100</xdr:rowOff>
    </xdr:from>
    <xdr:to>
      <xdr:col>3</xdr:col>
      <xdr:colOff>238125</xdr:colOff>
      <xdr:row>34</xdr:row>
      <xdr:rowOff>133350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1800225" y="6600825"/>
          <a:ext cx="163830" cy="9144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76200</xdr:colOff>
      <xdr:row>16</xdr:row>
      <xdr:rowOff>104775</xdr:rowOff>
    </xdr:from>
    <xdr:to>
      <xdr:col>6</xdr:col>
      <xdr:colOff>200025</xdr:colOff>
      <xdr:row>16</xdr:row>
      <xdr:rowOff>257175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5324475" y="3408045"/>
          <a:ext cx="12573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85725</xdr:colOff>
      <xdr:row>20</xdr:row>
      <xdr:rowOff>19050</xdr:rowOff>
    </xdr:from>
    <xdr:to>
      <xdr:col>1</xdr:col>
      <xdr:colOff>228600</xdr:colOff>
      <xdr:row>20</xdr:row>
      <xdr:rowOff>133350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382905" y="4196715"/>
          <a:ext cx="140970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76200</xdr:colOff>
      <xdr:row>34</xdr:row>
      <xdr:rowOff>28575</xdr:rowOff>
    </xdr:from>
    <xdr:to>
      <xdr:col>1</xdr:col>
      <xdr:colOff>200025</xdr:colOff>
      <xdr:row>34</xdr:row>
      <xdr:rowOff>123825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371475" y="6589395"/>
          <a:ext cx="12573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190500</xdr:colOff>
      <xdr:row>34</xdr:row>
      <xdr:rowOff>28575</xdr:rowOff>
    </xdr:from>
    <xdr:to>
      <xdr:col>2</xdr:col>
      <xdr:colOff>333375</xdr:colOff>
      <xdr:row>34</xdr:row>
      <xdr:rowOff>123825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209675" y="6589395"/>
          <a:ext cx="14097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76200</xdr:colOff>
      <xdr:row>34</xdr:row>
      <xdr:rowOff>38100</xdr:rowOff>
    </xdr:from>
    <xdr:to>
      <xdr:col>3</xdr:col>
      <xdr:colOff>238125</xdr:colOff>
      <xdr:row>34</xdr:row>
      <xdr:rowOff>133350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1800225" y="6600825"/>
          <a:ext cx="163830" cy="9144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76200</xdr:colOff>
      <xdr:row>16</xdr:row>
      <xdr:rowOff>104775</xdr:rowOff>
    </xdr:from>
    <xdr:to>
      <xdr:col>6</xdr:col>
      <xdr:colOff>200025</xdr:colOff>
      <xdr:row>16</xdr:row>
      <xdr:rowOff>257175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5324475" y="3408045"/>
          <a:ext cx="12573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266700</xdr:colOff>
      <xdr:row>18</xdr:row>
      <xdr:rowOff>66675</xdr:rowOff>
    </xdr:from>
    <xdr:to>
      <xdr:col>2</xdr:col>
      <xdr:colOff>361950</xdr:colOff>
      <xdr:row>18</xdr:row>
      <xdr:rowOff>161925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1285875" y="3884295"/>
          <a:ext cx="9144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219075</xdr:colOff>
      <xdr:row>18</xdr:row>
      <xdr:rowOff>57150</xdr:rowOff>
    </xdr:from>
    <xdr:to>
      <xdr:col>3</xdr:col>
      <xdr:colOff>314325</xdr:colOff>
      <xdr:row>18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941195" y="3872865"/>
          <a:ext cx="9906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628650</xdr:colOff>
      <xdr:row>17</xdr:row>
      <xdr:rowOff>104775</xdr:rowOff>
    </xdr:from>
    <xdr:to>
      <xdr:col>3</xdr:col>
      <xdr:colOff>723900</xdr:colOff>
      <xdr:row>17</xdr:row>
      <xdr:rowOff>200025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348865" y="3693795"/>
          <a:ext cx="9906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76200</xdr:colOff>
      <xdr:row>17</xdr:row>
      <xdr:rowOff>95250</xdr:rowOff>
    </xdr:from>
    <xdr:to>
      <xdr:col>3</xdr:col>
      <xdr:colOff>171450</xdr:colOff>
      <xdr:row>17</xdr:row>
      <xdr:rowOff>190500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800225" y="3682365"/>
          <a:ext cx="9144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17</xdr:row>
      <xdr:rowOff>104775</xdr:rowOff>
    </xdr:from>
    <xdr:to>
      <xdr:col>1</xdr:col>
      <xdr:colOff>457200</xdr:colOff>
      <xdr:row>17</xdr:row>
      <xdr:rowOff>200025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rrowheads="1"/>
        </xdr:cNvSpPr>
      </xdr:nvSpPr>
      <xdr:spPr bwMode="auto">
        <a:xfrm>
          <a:off x="653415" y="3693795"/>
          <a:ext cx="9906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17</xdr:row>
      <xdr:rowOff>95250</xdr:rowOff>
    </xdr:from>
    <xdr:to>
      <xdr:col>2</xdr:col>
      <xdr:colOff>266700</xdr:colOff>
      <xdr:row>17</xdr:row>
      <xdr:rowOff>190500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rrowheads="1"/>
        </xdr:cNvSpPr>
      </xdr:nvSpPr>
      <xdr:spPr bwMode="auto">
        <a:xfrm>
          <a:off x="1186815" y="3682365"/>
          <a:ext cx="9906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85725</xdr:colOff>
      <xdr:row>20</xdr:row>
      <xdr:rowOff>19050</xdr:rowOff>
    </xdr:from>
    <xdr:to>
      <xdr:col>1</xdr:col>
      <xdr:colOff>228600</xdr:colOff>
      <xdr:row>20</xdr:row>
      <xdr:rowOff>133350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rrowheads="1"/>
        </xdr:cNvSpPr>
      </xdr:nvSpPr>
      <xdr:spPr bwMode="auto">
        <a:xfrm>
          <a:off x="382905" y="4196715"/>
          <a:ext cx="140970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76200</xdr:colOff>
      <xdr:row>34</xdr:row>
      <xdr:rowOff>28575</xdr:rowOff>
    </xdr:from>
    <xdr:to>
      <xdr:col>1</xdr:col>
      <xdr:colOff>200025</xdr:colOff>
      <xdr:row>34</xdr:row>
      <xdr:rowOff>123825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371475" y="6589395"/>
          <a:ext cx="12573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190500</xdr:colOff>
      <xdr:row>34</xdr:row>
      <xdr:rowOff>28575</xdr:rowOff>
    </xdr:from>
    <xdr:to>
      <xdr:col>2</xdr:col>
      <xdr:colOff>333375</xdr:colOff>
      <xdr:row>34</xdr:row>
      <xdr:rowOff>123825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rrowheads="1"/>
        </xdr:cNvSpPr>
      </xdr:nvSpPr>
      <xdr:spPr bwMode="auto">
        <a:xfrm>
          <a:off x="1209675" y="6589395"/>
          <a:ext cx="140970" cy="9906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76200</xdr:colOff>
      <xdr:row>34</xdr:row>
      <xdr:rowOff>38100</xdr:rowOff>
    </xdr:from>
    <xdr:to>
      <xdr:col>3</xdr:col>
      <xdr:colOff>238125</xdr:colOff>
      <xdr:row>34</xdr:row>
      <xdr:rowOff>133350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1800225" y="6600825"/>
          <a:ext cx="163830" cy="9144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76200</xdr:colOff>
      <xdr:row>16</xdr:row>
      <xdr:rowOff>104775</xdr:rowOff>
    </xdr:from>
    <xdr:to>
      <xdr:col>6</xdr:col>
      <xdr:colOff>200025</xdr:colOff>
      <xdr:row>16</xdr:row>
      <xdr:rowOff>257175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rrowheads="1"/>
        </xdr:cNvSpPr>
      </xdr:nvSpPr>
      <xdr:spPr bwMode="auto">
        <a:xfrm>
          <a:off x="5324475" y="3408045"/>
          <a:ext cx="12573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estEmail@nomail.com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mailto:TestEmail@nomail.com" TargetMode="External"/><Relationship Id="rId7" Type="http://schemas.openxmlformats.org/officeDocument/2006/relationships/hyperlink" Target="mailto:TestEmail@nomail.com" TargetMode="External"/><Relationship Id="rId12" Type="http://schemas.openxmlformats.org/officeDocument/2006/relationships/hyperlink" Target="mailto:TestEmail@nomail.com" TargetMode="External"/><Relationship Id="rId2" Type="http://schemas.openxmlformats.org/officeDocument/2006/relationships/hyperlink" Target="mailto:TestEmail@nomail.com" TargetMode="External"/><Relationship Id="rId1" Type="http://schemas.openxmlformats.org/officeDocument/2006/relationships/hyperlink" Target="mailto:TestEmail@nomail.com" TargetMode="External"/><Relationship Id="rId6" Type="http://schemas.openxmlformats.org/officeDocument/2006/relationships/hyperlink" Target="mailto:TestEmail@nomail.com" TargetMode="External"/><Relationship Id="rId11" Type="http://schemas.openxmlformats.org/officeDocument/2006/relationships/hyperlink" Target="mailto:TestEmail@nomail.com" TargetMode="External"/><Relationship Id="rId5" Type="http://schemas.openxmlformats.org/officeDocument/2006/relationships/hyperlink" Target="mailto:TestEmail@nomail.com" TargetMode="External"/><Relationship Id="rId15" Type="http://schemas.openxmlformats.org/officeDocument/2006/relationships/comments" Target="../comments1.xml"/><Relationship Id="rId10" Type="http://schemas.openxmlformats.org/officeDocument/2006/relationships/hyperlink" Target="mailto:TestEmail@nomail.com" TargetMode="External"/><Relationship Id="rId4" Type="http://schemas.openxmlformats.org/officeDocument/2006/relationships/hyperlink" Target="mailto:TestEmail@nomail.com" TargetMode="External"/><Relationship Id="rId9" Type="http://schemas.openxmlformats.org/officeDocument/2006/relationships/hyperlink" Target="mailto:TestEmail@nomail.com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29682-7D8C-4653-B988-0EF1126E4EB5}">
  <sheetPr codeName="Sheet10">
    <tabColor theme="6" tint="0.39997558519241921"/>
  </sheetPr>
  <dimension ref="A1"/>
  <sheetViews>
    <sheetView tabSelected="1" workbookViewId="0">
      <selection activeCell="N53" sqref="N53"/>
    </sheetView>
  </sheetViews>
  <sheetFormatPr defaultColWidth="8.85546875" defaultRowHeight="12.75" x14ac:dyDescent="0.2"/>
  <cols>
    <col min="1" max="16384" width="8.85546875" style="77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CreateMailMerge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8</xdr:col>
                    <xdr:colOff>457200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SaveSelectedSheetsToPDF">
                <anchor moveWithCells="1" sizeWithCells="1">
                  <from>
                    <xdr:col>1</xdr:col>
                    <xdr:colOff>9525</xdr:colOff>
                    <xdr:row>15</xdr:row>
                    <xdr:rowOff>9525</xdr:rowOff>
                  </from>
                  <to>
                    <xdr:col>8</xdr:col>
                    <xdr:colOff>438150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94476-329F-455C-BD98-E8CFFD238EAB}">
  <sheetPr codeName="Sheet8">
    <tabColor theme="8" tint="-0.249977111117893"/>
  </sheetPr>
  <dimension ref="A1:AQ221"/>
  <sheetViews>
    <sheetView topLeftCell="AD1" workbookViewId="0">
      <selection activeCell="AQ2" sqref="AQ2"/>
    </sheetView>
  </sheetViews>
  <sheetFormatPr defaultRowHeight="12.75" x14ac:dyDescent="0.2"/>
  <cols>
    <col min="1" max="1" width="50.5703125" bestFit="1" customWidth="1"/>
    <col min="2" max="2" width="101.85546875" bestFit="1" customWidth="1"/>
    <col min="3" max="3" width="23.85546875" bestFit="1" customWidth="1"/>
    <col min="4" max="4" width="18.42578125" bestFit="1" customWidth="1"/>
    <col min="5" max="5" width="23.28515625" bestFit="1" customWidth="1"/>
    <col min="6" max="6" width="19.85546875" bestFit="1" customWidth="1"/>
    <col min="7" max="7" width="20.7109375" bestFit="1" customWidth="1"/>
    <col min="8" max="8" width="18.28515625" bestFit="1" customWidth="1"/>
    <col min="9" max="9" width="12" bestFit="1" customWidth="1"/>
    <col min="10" max="10" width="22.85546875" bestFit="1" customWidth="1"/>
    <col min="11" max="11" width="15.28515625" bestFit="1" customWidth="1"/>
    <col min="12" max="12" width="13.140625" bestFit="1" customWidth="1"/>
    <col min="13" max="13" width="12.7109375" bestFit="1" customWidth="1"/>
    <col min="14" max="14" width="16.140625" bestFit="1" customWidth="1"/>
    <col min="15" max="15" width="21" bestFit="1" customWidth="1"/>
    <col min="16" max="16" width="22" bestFit="1" customWidth="1"/>
    <col min="17" max="17" width="19.42578125" bestFit="1" customWidth="1"/>
    <col min="18" max="18" width="13.28515625" bestFit="1" customWidth="1"/>
    <col min="19" max="19" width="23.140625" bestFit="1" customWidth="1"/>
    <col min="20" max="20" width="14.7109375" bestFit="1" customWidth="1"/>
    <col min="21" max="21" width="13.85546875" bestFit="1" customWidth="1"/>
    <col min="22" max="22" width="23.7109375" bestFit="1" customWidth="1"/>
    <col min="23" max="23" width="26.140625" bestFit="1" customWidth="1"/>
    <col min="24" max="24" width="26" bestFit="1" customWidth="1"/>
    <col min="25" max="25" width="14.7109375" bestFit="1" customWidth="1"/>
    <col min="26" max="26" width="20.28515625" bestFit="1" customWidth="1"/>
    <col min="27" max="27" width="31.28515625" bestFit="1" customWidth="1"/>
    <col min="28" max="28" width="24" style="76" bestFit="1" customWidth="1"/>
    <col min="29" max="29" width="12.5703125" bestFit="1" customWidth="1"/>
    <col min="30" max="30" width="6.5703125" bestFit="1" customWidth="1"/>
    <col min="31" max="31" width="13.28515625" bestFit="1" customWidth="1"/>
    <col min="32" max="32" width="9.5703125" bestFit="1" customWidth="1"/>
    <col min="33" max="33" width="9.42578125" bestFit="1" customWidth="1"/>
    <col min="34" max="34" width="12.42578125" bestFit="1" customWidth="1"/>
    <col min="35" max="35" width="10.5703125" bestFit="1" customWidth="1"/>
    <col min="36" max="36" width="15.85546875" customWidth="1"/>
    <col min="37" max="37" width="13.5703125" bestFit="1" customWidth="1"/>
    <col min="38" max="38" width="19.5703125" customWidth="1"/>
    <col min="39" max="39" width="17.42578125" customWidth="1"/>
    <col min="40" max="40" width="19.85546875" customWidth="1"/>
    <col min="41" max="41" width="18.42578125" customWidth="1"/>
    <col min="42" max="42" width="14.85546875" bestFit="1" customWidth="1"/>
    <col min="43" max="43" width="11.28515625" bestFit="1" customWidth="1"/>
  </cols>
  <sheetData>
    <row r="1" spans="1:43" s="73" customFormat="1" ht="17.25" customHeight="1" thickBot="1" x14ac:dyDescent="0.25">
      <c r="A1" s="62" t="s">
        <v>87</v>
      </c>
      <c r="B1" s="62" t="s">
        <v>88</v>
      </c>
      <c r="C1" s="63" t="s">
        <v>89</v>
      </c>
      <c r="D1" s="63" t="s">
        <v>90</v>
      </c>
      <c r="E1" s="63" t="s">
        <v>91</v>
      </c>
      <c r="F1" s="63" t="s">
        <v>92</v>
      </c>
      <c r="G1" s="63" t="s">
        <v>93</v>
      </c>
      <c r="H1" s="63" t="s">
        <v>94</v>
      </c>
      <c r="I1" s="63" t="s">
        <v>95</v>
      </c>
      <c r="J1" s="64" t="s">
        <v>96</v>
      </c>
      <c r="K1" s="64" t="s">
        <v>97</v>
      </c>
      <c r="L1" s="65" t="s">
        <v>98</v>
      </c>
      <c r="M1" s="65" t="s">
        <v>99</v>
      </c>
      <c r="N1" s="65" t="s">
        <v>100</v>
      </c>
      <c r="O1" s="65" t="s">
        <v>101</v>
      </c>
      <c r="P1" s="65" t="s">
        <v>102</v>
      </c>
      <c r="Q1" s="65" t="s">
        <v>103</v>
      </c>
      <c r="R1" s="65" t="s">
        <v>104</v>
      </c>
      <c r="S1" s="65" t="s">
        <v>77</v>
      </c>
      <c r="T1" s="66" t="s">
        <v>78</v>
      </c>
      <c r="U1" s="66" t="s">
        <v>79</v>
      </c>
      <c r="V1" s="67" t="s">
        <v>105</v>
      </c>
      <c r="W1" s="68" t="s">
        <v>106</v>
      </c>
      <c r="X1" s="68" t="s">
        <v>107</v>
      </c>
      <c r="Y1" s="68" t="s">
        <v>108</v>
      </c>
      <c r="Z1" s="68" t="s">
        <v>109</v>
      </c>
      <c r="AA1" s="68" t="s">
        <v>110</v>
      </c>
      <c r="AB1" s="63" t="s">
        <v>111</v>
      </c>
      <c r="AC1" s="69" t="s">
        <v>72</v>
      </c>
      <c r="AD1" s="70" t="s">
        <v>22</v>
      </c>
      <c r="AE1" s="70" t="s">
        <v>24</v>
      </c>
      <c r="AF1" s="70" t="s">
        <v>25</v>
      </c>
      <c r="AG1" s="71" t="s">
        <v>73</v>
      </c>
      <c r="AH1" s="71" t="s">
        <v>74</v>
      </c>
      <c r="AI1" s="70" t="s">
        <v>75</v>
      </c>
      <c r="AJ1" s="72" t="s">
        <v>76</v>
      </c>
      <c r="AK1" s="72" t="s">
        <v>26</v>
      </c>
      <c r="AL1" s="72" t="s">
        <v>152</v>
      </c>
      <c r="AM1" s="72" t="s">
        <v>153</v>
      </c>
      <c r="AN1" s="72" t="s">
        <v>154</v>
      </c>
      <c r="AO1" s="72" t="s">
        <v>155</v>
      </c>
      <c r="AP1" s="72" t="s">
        <v>158</v>
      </c>
      <c r="AQ1" s="72" t="s">
        <v>160</v>
      </c>
    </row>
    <row r="2" spans="1:43" x14ac:dyDescent="0.2">
      <c r="A2" s="17" t="s">
        <v>169</v>
      </c>
      <c r="B2" s="17" t="s">
        <v>170</v>
      </c>
      <c r="C2" s="17" t="s">
        <v>171</v>
      </c>
      <c r="D2" s="17" t="s">
        <v>172</v>
      </c>
      <c r="E2">
        <v>55555</v>
      </c>
      <c r="J2" s="17" t="s">
        <v>169</v>
      </c>
      <c r="K2" s="17" t="s">
        <v>170</v>
      </c>
      <c r="L2" s="17" t="s">
        <v>171</v>
      </c>
      <c r="M2" s="17" t="s">
        <v>172</v>
      </c>
      <c r="N2">
        <v>55555</v>
      </c>
      <c r="T2" s="74">
        <v>45170</v>
      </c>
      <c r="U2" s="74">
        <v>45535</v>
      </c>
      <c r="V2" s="75" t="s">
        <v>116</v>
      </c>
      <c r="W2" t="s">
        <v>114</v>
      </c>
      <c r="X2" t="s">
        <v>115</v>
      </c>
      <c r="Y2" s="74">
        <v>45152</v>
      </c>
      <c r="Z2" t="s">
        <v>118</v>
      </c>
      <c r="AA2" t="s">
        <v>117</v>
      </c>
      <c r="AB2" s="76" t="s">
        <v>119</v>
      </c>
      <c r="AC2" s="17" t="s">
        <v>173</v>
      </c>
      <c r="AD2" s="17" t="s">
        <v>174</v>
      </c>
      <c r="AE2" s="17" t="s">
        <v>175</v>
      </c>
      <c r="AF2">
        <v>1234567</v>
      </c>
      <c r="AG2">
        <v>0</v>
      </c>
      <c r="AH2">
        <v>0</v>
      </c>
      <c r="AI2">
        <v>3000</v>
      </c>
      <c r="AJ2" s="17" t="s">
        <v>113</v>
      </c>
      <c r="AK2">
        <v>7.1999999999999998E-3</v>
      </c>
      <c r="AL2" s="17" t="s">
        <v>80</v>
      </c>
      <c r="AM2" s="17" t="s">
        <v>80</v>
      </c>
      <c r="AP2" s="17" t="s">
        <v>159</v>
      </c>
      <c r="AQ2">
        <v>12</v>
      </c>
    </row>
    <row r="3" spans="1:43" x14ac:dyDescent="0.2">
      <c r="A3" s="17" t="s">
        <v>169</v>
      </c>
      <c r="B3" s="17" t="s">
        <v>170</v>
      </c>
      <c r="C3" s="17" t="s">
        <v>171</v>
      </c>
      <c r="D3" s="17" t="s">
        <v>172</v>
      </c>
      <c r="E3">
        <v>55555</v>
      </c>
      <c r="J3" s="17" t="s">
        <v>169</v>
      </c>
      <c r="K3" s="17" t="s">
        <v>170</v>
      </c>
      <c r="L3" s="17" t="s">
        <v>171</v>
      </c>
      <c r="M3" s="17" t="s">
        <v>172</v>
      </c>
      <c r="N3">
        <v>55555</v>
      </c>
      <c r="T3" s="74">
        <v>45170</v>
      </c>
      <c r="U3" s="74">
        <v>45535</v>
      </c>
      <c r="V3" s="75" t="s">
        <v>116</v>
      </c>
      <c r="W3" t="s">
        <v>114</v>
      </c>
      <c r="X3" t="s">
        <v>115</v>
      </c>
      <c r="Y3" s="74">
        <v>45152</v>
      </c>
      <c r="Z3" t="s">
        <v>118</v>
      </c>
      <c r="AA3" t="s">
        <v>117</v>
      </c>
      <c r="AB3" s="76" t="s">
        <v>119</v>
      </c>
      <c r="AC3" s="17" t="s">
        <v>173</v>
      </c>
      <c r="AD3" s="17" t="s">
        <v>174</v>
      </c>
      <c r="AE3" s="17" t="s">
        <v>175</v>
      </c>
      <c r="AF3">
        <v>1234567</v>
      </c>
      <c r="AG3">
        <v>0</v>
      </c>
      <c r="AH3">
        <v>0</v>
      </c>
      <c r="AI3">
        <v>3000</v>
      </c>
      <c r="AJ3" s="17" t="s">
        <v>113</v>
      </c>
      <c r="AK3">
        <v>7.1999999999999998E-3</v>
      </c>
      <c r="AL3" s="17" t="s">
        <v>80</v>
      </c>
      <c r="AM3" s="17" t="s">
        <v>80</v>
      </c>
      <c r="AP3" s="17" t="s">
        <v>159</v>
      </c>
      <c r="AQ3">
        <v>12</v>
      </c>
    </row>
    <row r="4" spans="1:43" x14ac:dyDescent="0.2">
      <c r="A4" s="17" t="s">
        <v>169</v>
      </c>
      <c r="B4" s="17" t="s">
        <v>170</v>
      </c>
      <c r="C4" s="17" t="s">
        <v>171</v>
      </c>
      <c r="D4" s="17" t="s">
        <v>172</v>
      </c>
      <c r="E4">
        <v>55555</v>
      </c>
      <c r="J4" s="17" t="s">
        <v>169</v>
      </c>
      <c r="K4" s="17" t="s">
        <v>170</v>
      </c>
      <c r="L4" s="17" t="s">
        <v>171</v>
      </c>
      <c r="M4" s="17" t="s">
        <v>172</v>
      </c>
      <c r="N4">
        <v>55555</v>
      </c>
      <c r="T4" s="74">
        <v>45170</v>
      </c>
      <c r="U4" s="74">
        <v>45535</v>
      </c>
      <c r="V4" s="75" t="s">
        <v>116</v>
      </c>
      <c r="W4" t="s">
        <v>114</v>
      </c>
      <c r="X4" t="s">
        <v>115</v>
      </c>
      <c r="Y4" s="74">
        <v>45152</v>
      </c>
      <c r="Z4" t="s">
        <v>118</v>
      </c>
      <c r="AA4" t="s">
        <v>117</v>
      </c>
      <c r="AB4" s="76" t="s">
        <v>119</v>
      </c>
      <c r="AC4" s="17" t="s">
        <v>173</v>
      </c>
      <c r="AD4" s="17" t="s">
        <v>174</v>
      </c>
      <c r="AE4" s="17" t="s">
        <v>175</v>
      </c>
      <c r="AF4">
        <v>1234567</v>
      </c>
      <c r="AG4">
        <v>0</v>
      </c>
      <c r="AH4">
        <v>0</v>
      </c>
      <c r="AI4">
        <v>3000</v>
      </c>
      <c r="AJ4" s="17" t="s">
        <v>113</v>
      </c>
      <c r="AK4">
        <v>7.1999999999999998E-3</v>
      </c>
      <c r="AL4" s="17" t="s">
        <v>80</v>
      </c>
      <c r="AM4" s="17" t="s">
        <v>80</v>
      </c>
      <c r="AP4" s="17" t="s">
        <v>159</v>
      </c>
      <c r="AQ4">
        <v>12</v>
      </c>
    </row>
    <row r="5" spans="1:43" x14ac:dyDescent="0.2">
      <c r="A5" s="17" t="s">
        <v>169</v>
      </c>
      <c r="B5" s="17" t="s">
        <v>170</v>
      </c>
      <c r="C5" s="17" t="s">
        <v>171</v>
      </c>
      <c r="D5" s="17" t="s">
        <v>172</v>
      </c>
      <c r="E5">
        <v>55555</v>
      </c>
      <c r="J5" s="17" t="s">
        <v>169</v>
      </c>
      <c r="K5" s="17" t="s">
        <v>170</v>
      </c>
      <c r="L5" s="17" t="s">
        <v>171</v>
      </c>
      <c r="M5" s="17" t="s">
        <v>172</v>
      </c>
      <c r="N5">
        <v>55555</v>
      </c>
      <c r="T5" s="74">
        <v>45170</v>
      </c>
      <c r="U5" s="74">
        <v>45535</v>
      </c>
      <c r="V5" s="75" t="s">
        <v>116</v>
      </c>
      <c r="W5" t="s">
        <v>114</v>
      </c>
      <c r="X5" t="s">
        <v>115</v>
      </c>
      <c r="Y5" s="74">
        <v>45152</v>
      </c>
      <c r="Z5" t="s">
        <v>118</v>
      </c>
      <c r="AA5" t="s">
        <v>117</v>
      </c>
      <c r="AB5" s="76" t="s">
        <v>119</v>
      </c>
      <c r="AC5" s="17" t="s">
        <v>173</v>
      </c>
      <c r="AD5" s="17" t="s">
        <v>174</v>
      </c>
      <c r="AE5" s="17" t="s">
        <v>175</v>
      </c>
      <c r="AF5">
        <v>1234567</v>
      </c>
      <c r="AG5">
        <v>0</v>
      </c>
      <c r="AH5">
        <v>0</v>
      </c>
      <c r="AI5">
        <v>3000</v>
      </c>
      <c r="AJ5" s="17" t="s">
        <v>113</v>
      </c>
      <c r="AK5">
        <v>7.1999999999999998E-3</v>
      </c>
      <c r="AL5" s="17" t="s">
        <v>80</v>
      </c>
      <c r="AM5" s="17" t="s">
        <v>80</v>
      </c>
      <c r="AP5" s="17" t="s">
        <v>159</v>
      </c>
      <c r="AQ5">
        <v>12</v>
      </c>
    </row>
    <row r="6" spans="1:43" x14ac:dyDescent="0.2">
      <c r="A6" s="17" t="s">
        <v>169</v>
      </c>
      <c r="B6" s="17" t="s">
        <v>170</v>
      </c>
      <c r="C6" s="17" t="s">
        <v>171</v>
      </c>
      <c r="D6" s="17" t="s">
        <v>172</v>
      </c>
      <c r="E6">
        <v>55555</v>
      </c>
      <c r="J6" s="17" t="s">
        <v>169</v>
      </c>
      <c r="K6" s="17" t="s">
        <v>170</v>
      </c>
      <c r="L6" s="17" t="s">
        <v>171</v>
      </c>
      <c r="M6" s="17" t="s">
        <v>172</v>
      </c>
      <c r="N6">
        <v>55555</v>
      </c>
      <c r="T6" s="74">
        <v>45170</v>
      </c>
      <c r="U6" s="74">
        <v>45535</v>
      </c>
      <c r="V6" s="75" t="s">
        <v>116</v>
      </c>
      <c r="W6" t="s">
        <v>114</v>
      </c>
      <c r="X6" t="s">
        <v>115</v>
      </c>
      <c r="Y6" s="74">
        <v>45152</v>
      </c>
      <c r="Z6" t="s">
        <v>118</v>
      </c>
      <c r="AA6" t="s">
        <v>117</v>
      </c>
      <c r="AB6" s="76" t="s">
        <v>119</v>
      </c>
      <c r="AC6" s="17" t="s">
        <v>173</v>
      </c>
      <c r="AD6" s="17" t="s">
        <v>174</v>
      </c>
      <c r="AE6" s="17" t="s">
        <v>175</v>
      </c>
      <c r="AF6">
        <v>1234567</v>
      </c>
      <c r="AG6">
        <v>0</v>
      </c>
      <c r="AH6">
        <v>0</v>
      </c>
      <c r="AI6">
        <v>3000</v>
      </c>
      <c r="AJ6" s="17" t="s">
        <v>113</v>
      </c>
      <c r="AK6">
        <v>7.1999999999999998E-3</v>
      </c>
      <c r="AL6" s="17" t="s">
        <v>80</v>
      </c>
      <c r="AM6" s="17" t="s">
        <v>80</v>
      </c>
      <c r="AP6" s="17" t="s">
        <v>159</v>
      </c>
      <c r="AQ6">
        <v>12</v>
      </c>
    </row>
    <row r="7" spans="1:43" x14ac:dyDescent="0.2">
      <c r="A7" s="17" t="s">
        <v>169</v>
      </c>
      <c r="B7" s="17" t="s">
        <v>170</v>
      </c>
      <c r="C7" s="17" t="s">
        <v>171</v>
      </c>
      <c r="D7" s="17" t="s">
        <v>172</v>
      </c>
      <c r="E7">
        <v>55555</v>
      </c>
      <c r="J7" s="17" t="s">
        <v>169</v>
      </c>
      <c r="K7" s="17" t="s">
        <v>170</v>
      </c>
      <c r="L7" s="17" t="s">
        <v>171</v>
      </c>
      <c r="M7" s="17" t="s">
        <v>172</v>
      </c>
      <c r="N7">
        <v>55555</v>
      </c>
      <c r="T7" s="74">
        <v>45170</v>
      </c>
      <c r="U7" s="74">
        <v>45535</v>
      </c>
      <c r="V7" s="75" t="s">
        <v>116</v>
      </c>
      <c r="W7" t="s">
        <v>114</v>
      </c>
      <c r="X7" t="s">
        <v>115</v>
      </c>
      <c r="Y7" s="74">
        <v>45152</v>
      </c>
      <c r="Z7" t="s">
        <v>118</v>
      </c>
      <c r="AA7" t="s">
        <v>117</v>
      </c>
      <c r="AB7" s="76" t="s">
        <v>119</v>
      </c>
      <c r="AC7" s="17" t="s">
        <v>173</v>
      </c>
      <c r="AD7" s="17" t="s">
        <v>174</v>
      </c>
      <c r="AE7" s="17" t="s">
        <v>175</v>
      </c>
      <c r="AF7">
        <v>1234567</v>
      </c>
      <c r="AG7">
        <v>0</v>
      </c>
      <c r="AH7">
        <v>0</v>
      </c>
      <c r="AI7">
        <v>3000</v>
      </c>
      <c r="AJ7" s="17" t="s">
        <v>113</v>
      </c>
      <c r="AK7">
        <v>7.1999999999999998E-3</v>
      </c>
      <c r="AL7" s="17" t="s">
        <v>80</v>
      </c>
      <c r="AM7" s="17" t="s">
        <v>80</v>
      </c>
      <c r="AP7" s="17" t="s">
        <v>159</v>
      </c>
      <c r="AQ7">
        <v>12</v>
      </c>
    </row>
    <row r="8" spans="1:43" x14ac:dyDescent="0.2">
      <c r="A8" s="17" t="s">
        <v>169</v>
      </c>
      <c r="B8" s="17" t="s">
        <v>170</v>
      </c>
      <c r="C8" s="17" t="s">
        <v>171</v>
      </c>
      <c r="D8" s="17" t="s">
        <v>172</v>
      </c>
      <c r="E8">
        <v>55555</v>
      </c>
      <c r="J8" s="17" t="s">
        <v>169</v>
      </c>
      <c r="K8" s="17" t="s">
        <v>170</v>
      </c>
      <c r="L8" s="17" t="s">
        <v>171</v>
      </c>
      <c r="M8" s="17" t="s">
        <v>172</v>
      </c>
      <c r="N8">
        <v>55555</v>
      </c>
      <c r="T8" s="74">
        <v>45170</v>
      </c>
      <c r="U8" s="74">
        <v>45535</v>
      </c>
      <c r="V8" s="75" t="s">
        <v>116</v>
      </c>
      <c r="W8" t="s">
        <v>114</v>
      </c>
      <c r="X8" t="s">
        <v>115</v>
      </c>
      <c r="Y8" s="74">
        <v>45152</v>
      </c>
      <c r="Z8" t="s">
        <v>118</v>
      </c>
      <c r="AA8" t="s">
        <v>117</v>
      </c>
      <c r="AB8" s="76" t="s">
        <v>119</v>
      </c>
      <c r="AC8" s="17" t="s">
        <v>173</v>
      </c>
      <c r="AD8" s="17" t="s">
        <v>174</v>
      </c>
      <c r="AE8" s="17" t="s">
        <v>175</v>
      </c>
      <c r="AF8">
        <v>1234567</v>
      </c>
      <c r="AG8">
        <v>0</v>
      </c>
      <c r="AH8">
        <v>0</v>
      </c>
      <c r="AI8">
        <v>3000</v>
      </c>
      <c r="AJ8" s="17" t="s">
        <v>113</v>
      </c>
      <c r="AK8">
        <v>7.1999999999999998E-3</v>
      </c>
      <c r="AL8" s="17" t="s">
        <v>80</v>
      </c>
      <c r="AM8" s="17" t="s">
        <v>80</v>
      </c>
      <c r="AP8" s="17" t="s">
        <v>159</v>
      </c>
      <c r="AQ8">
        <v>12</v>
      </c>
    </row>
    <row r="9" spans="1:43" x14ac:dyDescent="0.2">
      <c r="A9" s="17" t="s">
        <v>169</v>
      </c>
      <c r="B9" s="17" t="s">
        <v>170</v>
      </c>
      <c r="C9" s="17" t="s">
        <v>171</v>
      </c>
      <c r="D9" s="17" t="s">
        <v>172</v>
      </c>
      <c r="E9">
        <v>55555</v>
      </c>
      <c r="J9" s="17" t="s">
        <v>169</v>
      </c>
      <c r="K9" s="17" t="s">
        <v>170</v>
      </c>
      <c r="L9" s="17" t="s">
        <v>171</v>
      </c>
      <c r="M9" s="17" t="s">
        <v>172</v>
      </c>
      <c r="N9">
        <v>55555</v>
      </c>
      <c r="T9" s="74">
        <v>45170</v>
      </c>
      <c r="U9" s="74">
        <v>45535</v>
      </c>
      <c r="V9" s="75" t="s">
        <v>116</v>
      </c>
      <c r="W9" t="s">
        <v>114</v>
      </c>
      <c r="X9" t="s">
        <v>115</v>
      </c>
      <c r="Y9" s="74">
        <v>45152</v>
      </c>
      <c r="Z9" t="s">
        <v>118</v>
      </c>
      <c r="AA9" t="s">
        <v>117</v>
      </c>
      <c r="AB9" s="76" t="s">
        <v>119</v>
      </c>
      <c r="AC9" s="17" t="s">
        <v>173</v>
      </c>
      <c r="AD9" s="17" t="s">
        <v>174</v>
      </c>
      <c r="AE9" s="17" t="s">
        <v>175</v>
      </c>
      <c r="AF9">
        <v>1234567</v>
      </c>
      <c r="AG9">
        <v>0</v>
      </c>
      <c r="AH9">
        <v>0</v>
      </c>
      <c r="AI9">
        <v>3000</v>
      </c>
      <c r="AJ9" s="17" t="s">
        <v>113</v>
      </c>
      <c r="AK9">
        <v>7.1999999999999998E-3</v>
      </c>
      <c r="AL9" s="17" t="s">
        <v>80</v>
      </c>
      <c r="AM9" s="17" t="s">
        <v>80</v>
      </c>
      <c r="AP9" s="17" t="s">
        <v>159</v>
      </c>
      <c r="AQ9">
        <v>12</v>
      </c>
    </row>
    <row r="10" spans="1:43" x14ac:dyDescent="0.2">
      <c r="A10" s="17" t="s">
        <v>169</v>
      </c>
      <c r="B10" s="17" t="s">
        <v>170</v>
      </c>
      <c r="C10" s="17" t="s">
        <v>171</v>
      </c>
      <c r="D10" s="17" t="s">
        <v>172</v>
      </c>
      <c r="E10">
        <v>55555</v>
      </c>
      <c r="J10" s="17" t="s">
        <v>169</v>
      </c>
      <c r="K10" s="17" t="s">
        <v>170</v>
      </c>
      <c r="L10" s="17" t="s">
        <v>171</v>
      </c>
      <c r="M10" s="17" t="s">
        <v>172</v>
      </c>
      <c r="N10">
        <v>55555</v>
      </c>
      <c r="T10" s="74">
        <v>45170</v>
      </c>
      <c r="U10" s="74">
        <v>45535</v>
      </c>
      <c r="V10" s="75" t="s">
        <v>116</v>
      </c>
      <c r="W10" t="s">
        <v>114</v>
      </c>
      <c r="X10" t="s">
        <v>115</v>
      </c>
      <c r="Y10" s="74">
        <v>45152</v>
      </c>
      <c r="Z10" t="s">
        <v>118</v>
      </c>
      <c r="AA10" t="s">
        <v>117</v>
      </c>
      <c r="AB10" s="76" t="s">
        <v>119</v>
      </c>
      <c r="AC10" s="17" t="s">
        <v>173</v>
      </c>
      <c r="AD10" s="17" t="s">
        <v>174</v>
      </c>
      <c r="AE10" s="17" t="s">
        <v>175</v>
      </c>
      <c r="AF10">
        <v>1234567</v>
      </c>
      <c r="AG10">
        <v>0</v>
      </c>
      <c r="AH10">
        <v>0</v>
      </c>
      <c r="AI10">
        <v>3000</v>
      </c>
      <c r="AJ10" s="17" t="s">
        <v>113</v>
      </c>
      <c r="AK10">
        <v>7.1999999999999998E-3</v>
      </c>
      <c r="AL10" s="17" t="s">
        <v>80</v>
      </c>
      <c r="AM10" s="17" t="s">
        <v>80</v>
      </c>
      <c r="AP10" s="17" t="s">
        <v>159</v>
      </c>
      <c r="AQ10">
        <v>12</v>
      </c>
    </row>
    <row r="11" spans="1:43" x14ac:dyDescent="0.2">
      <c r="A11" s="17" t="s">
        <v>169</v>
      </c>
      <c r="B11" s="17" t="s">
        <v>170</v>
      </c>
      <c r="C11" s="17" t="s">
        <v>171</v>
      </c>
      <c r="D11" s="17" t="s">
        <v>172</v>
      </c>
      <c r="E11">
        <v>55555</v>
      </c>
      <c r="J11" s="17" t="s">
        <v>169</v>
      </c>
      <c r="K11" s="17" t="s">
        <v>170</v>
      </c>
      <c r="L11" s="17" t="s">
        <v>171</v>
      </c>
      <c r="M11" s="17" t="s">
        <v>172</v>
      </c>
      <c r="N11">
        <v>55555</v>
      </c>
      <c r="T11" s="74">
        <v>45170</v>
      </c>
      <c r="U11" s="74">
        <v>45535</v>
      </c>
      <c r="V11" s="75" t="s">
        <v>116</v>
      </c>
      <c r="W11" t="s">
        <v>114</v>
      </c>
      <c r="X11" t="s">
        <v>115</v>
      </c>
      <c r="Y11" s="74">
        <v>45152</v>
      </c>
      <c r="Z11" t="s">
        <v>118</v>
      </c>
      <c r="AA11" t="s">
        <v>117</v>
      </c>
      <c r="AB11" s="76" t="s">
        <v>119</v>
      </c>
      <c r="AC11" s="17" t="s">
        <v>173</v>
      </c>
      <c r="AD11" s="17" t="s">
        <v>174</v>
      </c>
      <c r="AE11" s="17" t="s">
        <v>175</v>
      </c>
      <c r="AF11">
        <v>1234567</v>
      </c>
      <c r="AG11">
        <v>0</v>
      </c>
      <c r="AH11">
        <v>0</v>
      </c>
      <c r="AI11">
        <v>3000</v>
      </c>
      <c r="AJ11" s="17" t="s">
        <v>113</v>
      </c>
      <c r="AK11">
        <v>7.1999999999999998E-3</v>
      </c>
      <c r="AL11" s="17" t="s">
        <v>80</v>
      </c>
      <c r="AM11" s="17" t="s">
        <v>80</v>
      </c>
      <c r="AP11" s="17" t="s">
        <v>159</v>
      </c>
      <c r="AQ11">
        <v>12</v>
      </c>
    </row>
    <row r="12" spans="1:43" x14ac:dyDescent="0.2">
      <c r="A12" s="17" t="s">
        <v>169</v>
      </c>
      <c r="B12" s="17" t="s">
        <v>170</v>
      </c>
      <c r="C12" s="17" t="s">
        <v>171</v>
      </c>
      <c r="D12" s="17" t="s">
        <v>172</v>
      </c>
      <c r="E12">
        <v>55555</v>
      </c>
      <c r="J12" s="17" t="s">
        <v>169</v>
      </c>
      <c r="K12" s="17" t="s">
        <v>170</v>
      </c>
      <c r="L12" s="17" t="s">
        <v>171</v>
      </c>
      <c r="M12" s="17" t="s">
        <v>172</v>
      </c>
      <c r="N12">
        <v>55555</v>
      </c>
      <c r="T12" s="74">
        <v>45170</v>
      </c>
      <c r="U12" s="74">
        <v>45535</v>
      </c>
      <c r="V12" s="75" t="s">
        <v>116</v>
      </c>
      <c r="W12" t="s">
        <v>114</v>
      </c>
      <c r="X12" t="s">
        <v>115</v>
      </c>
      <c r="Y12" s="74">
        <v>45152</v>
      </c>
      <c r="Z12" t="s">
        <v>118</v>
      </c>
      <c r="AA12" t="s">
        <v>117</v>
      </c>
      <c r="AB12" s="76" t="s">
        <v>119</v>
      </c>
      <c r="AC12" s="17" t="s">
        <v>173</v>
      </c>
      <c r="AD12" s="17" t="s">
        <v>174</v>
      </c>
      <c r="AE12" s="17" t="s">
        <v>175</v>
      </c>
      <c r="AF12">
        <v>1234567</v>
      </c>
      <c r="AG12">
        <v>0</v>
      </c>
      <c r="AH12">
        <v>0</v>
      </c>
      <c r="AI12">
        <v>3000</v>
      </c>
      <c r="AJ12" s="17" t="s">
        <v>113</v>
      </c>
      <c r="AK12">
        <v>7.1999999999999998E-3</v>
      </c>
      <c r="AL12" s="17" t="s">
        <v>80</v>
      </c>
      <c r="AM12" s="17" t="s">
        <v>80</v>
      </c>
      <c r="AP12" s="17" t="s">
        <v>159</v>
      </c>
      <c r="AQ12">
        <v>12</v>
      </c>
    </row>
    <row r="13" spans="1:43" x14ac:dyDescent="0.2">
      <c r="A13" s="17" t="s">
        <v>169</v>
      </c>
      <c r="B13" s="17" t="s">
        <v>170</v>
      </c>
      <c r="C13" s="17" t="s">
        <v>171</v>
      </c>
      <c r="D13" s="17" t="s">
        <v>172</v>
      </c>
      <c r="E13">
        <v>55555</v>
      </c>
      <c r="J13" s="17" t="s">
        <v>169</v>
      </c>
      <c r="K13" s="17" t="s">
        <v>170</v>
      </c>
      <c r="L13" s="17" t="s">
        <v>171</v>
      </c>
      <c r="M13" s="17" t="s">
        <v>172</v>
      </c>
      <c r="N13">
        <v>55555</v>
      </c>
      <c r="T13" s="74">
        <v>45170</v>
      </c>
      <c r="U13" s="74">
        <v>45535</v>
      </c>
      <c r="V13" s="75" t="s">
        <v>116</v>
      </c>
      <c r="W13" t="s">
        <v>114</v>
      </c>
      <c r="X13" t="s">
        <v>115</v>
      </c>
      <c r="Y13" s="74">
        <v>45152</v>
      </c>
      <c r="Z13" t="s">
        <v>118</v>
      </c>
      <c r="AA13" t="s">
        <v>117</v>
      </c>
      <c r="AB13" s="76" t="s">
        <v>119</v>
      </c>
      <c r="AC13" s="17" t="s">
        <v>173</v>
      </c>
      <c r="AD13" s="17" t="s">
        <v>174</v>
      </c>
      <c r="AE13" s="17" t="s">
        <v>175</v>
      </c>
      <c r="AF13">
        <v>1234567</v>
      </c>
      <c r="AG13">
        <v>0</v>
      </c>
      <c r="AH13">
        <v>0</v>
      </c>
      <c r="AI13">
        <v>3000</v>
      </c>
      <c r="AJ13" s="17" t="s">
        <v>113</v>
      </c>
      <c r="AK13">
        <v>7.1999999999999998E-3</v>
      </c>
      <c r="AL13" s="17" t="s">
        <v>80</v>
      </c>
      <c r="AM13" s="17" t="s">
        <v>80</v>
      </c>
      <c r="AP13" s="17" t="s">
        <v>159</v>
      </c>
      <c r="AQ13">
        <v>12</v>
      </c>
    </row>
    <row r="14" spans="1:43" x14ac:dyDescent="0.2">
      <c r="T14" s="74"/>
      <c r="U14" s="74"/>
      <c r="V14" s="75"/>
      <c r="Y14" s="74"/>
      <c r="AJ14" s="17"/>
      <c r="AL14" s="17"/>
      <c r="AM14" s="17"/>
      <c r="AP14" s="17"/>
    </row>
    <row r="15" spans="1:43" x14ac:dyDescent="0.2">
      <c r="T15" s="74"/>
      <c r="U15" s="74"/>
      <c r="V15" s="75"/>
      <c r="Y15" s="74"/>
      <c r="AJ15" s="17"/>
      <c r="AL15" s="17"/>
      <c r="AM15" s="17"/>
      <c r="AP15" s="17"/>
    </row>
    <row r="16" spans="1:43" x14ac:dyDescent="0.2">
      <c r="T16" s="74"/>
      <c r="U16" s="74"/>
      <c r="V16" s="75"/>
      <c r="Y16" s="74"/>
      <c r="AJ16" s="17"/>
      <c r="AL16" s="17"/>
      <c r="AM16" s="17"/>
      <c r="AP16" s="17"/>
    </row>
    <row r="17" spans="20:42" x14ac:dyDescent="0.2">
      <c r="T17" s="74"/>
      <c r="U17" s="74"/>
      <c r="V17" s="75"/>
      <c r="Y17" s="74"/>
      <c r="AJ17" s="17"/>
      <c r="AL17" s="17"/>
      <c r="AM17" s="17"/>
      <c r="AP17" s="17"/>
    </row>
    <row r="18" spans="20:42" x14ac:dyDescent="0.2">
      <c r="T18" s="74"/>
      <c r="U18" s="74"/>
      <c r="V18" s="75"/>
      <c r="Y18" s="74"/>
      <c r="AJ18" s="17"/>
      <c r="AL18" s="17"/>
      <c r="AM18" s="17"/>
      <c r="AP18" s="17"/>
    </row>
    <row r="19" spans="20:42" x14ac:dyDescent="0.2">
      <c r="T19" s="74"/>
      <c r="U19" s="74"/>
      <c r="V19" s="75"/>
      <c r="Y19" s="74"/>
      <c r="AJ19" s="17"/>
      <c r="AL19" s="17"/>
      <c r="AM19" s="17"/>
      <c r="AP19" s="17"/>
    </row>
    <row r="20" spans="20:42" x14ac:dyDescent="0.2">
      <c r="T20" s="74"/>
      <c r="U20" s="74"/>
      <c r="V20" s="75"/>
      <c r="Y20" s="74"/>
      <c r="AJ20" s="17"/>
      <c r="AL20" s="17"/>
      <c r="AM20" s="17"/>
      <c r="AP20" s="17"/>
    </row>
    <row r="21" spans="20:42" x14ac:dyDescent="0.2">
      <c r="T21" s="74"/>
      <c r="U21" s="74"/>
      <c r="V21" s="75"/>
      <c r="Y21" s="74"/>
      <c r="AJ21" s="17"/>
      <c r="AL21" s="17"/>
      <c r="AM21" s="17"/>
      <c r="AP21" s="17"/>
    </row>
    <row r="22" spans="20:42" x14ac:dyDescent="0.2">
      <c r="T22" s="74"/>
      <c r="U22" s="74"/>
      <c r="V22" s="75"/>
      <c r="Y22" s="74"/>
      <c r="AJ22" s="17"/>
      <c r="AL22" s="17"/>
      <c r="AM22" s="17"/>
      <c r="AP22" s="17"/>
    </row>
    <row r="23" spans="20:42" x14ac:dyDescent="0.2">
      <c r="T23" s="74"/>
      <c r="U23" s="74"/>
      <c r="V23" s="75"/>
      <c r="Y23" s="74"/>
      <c r="AJ23" s="17"/>
      <c r="AL23" s="17"/>
      <c r="AM23" s="17"/>
      <c r="AP23" s="17"/>
    </row>
    <row r="24" spans="20:42" x14ac:dyDescent="0.2">
      <c r="T24" s="74"/>
      <c r="U24" s="74"/>
      <c r="V24" s="75"/>
      <c r="Y24" s="74"/>
      <c r="AJ24" s="17"/>
      <c r="AL24" s="17"/>
      <c r="AM24" s="17"/>
      <c r="AP24" s="17"/>
    </row>
    <row r="25" spans="20:42" x14ac:dyDescent="0.2">
      <c r="T25" s="74"/>
      <c r="U25" s="74"/>
      <c r="V25" s="75"/>
      <c r="Y25" s="74"/>
      <c r="AJ25" s="17"/>
      <c r="AL25" s="17"/>
      <c r="AM25" s="17"/>
      <c r="AP25" s="17"/>
    </row>
    <row r="26" spans="20:42" x14ac:dyDescent="0.2">
      <c r="T26" s="74"/>
      <c r="U26" s="74"/>
      <c r="V26" s="75"/>
      <c r="Y26" s="74"/>
      <c r="AJ26" s="17"/>
      <c r="AL26" s="17"/>
      <c r="AM26" s="17"/>
      <c r="AP26" s="17"/>
    </row>
    <row r="27" spans="20:42" x14ac:dyDescent="0.2">
      <c r="T27" s="74"/>
      <c r="U27" s="74"/>
      <c r="V27" s="75"/>
      <c r="Y27" s="74"/>
      <c r="AJ27" s="17"/>
      <c r="AL27" s="17"/>
      <c r="AM27" s="17"/>
      <c r="AP27" s="17"/>
    </row>
    <row r="28" spans="20:42" x14ac:dyDescent="0.2">
      <c r="T28" s="74"/>
      <c r="U28" s="74"/>
      <c r="V28" s="75"/>
      <c r="Y28" s="74"/>
      <c r="AJ28" s="17"/>
      <c r="AL28" s="17"/>
      <c r="AM28" s="17"/>
      <c r="AP28" s="17"/>
    </row>
    <row r="29" spans="20:42" x14ac:dyDescent="0.2">
      <c r="T29" s="74"/>
      <c r="U29" s="74"/>
      <c r="V29" s="75"/>
      <c r="Y29" s="74"/>
      <c r="AJ29" s="17"/>
      <c r="AL29" s="17"/>
      <c r="AM29" s="17"/>
      <c r="AP29" s="17"/>
    </row>
    <row r="30" spans="20:42" x14ac:dyDescent="0.2">
      <c r="T30" s="74"/>
      <c r="U30" s="74"/>
      <c r="V30" s="75"/>
      <c r="Y30" s="74"/>
      <c r="AJ30" s="17"/>
      <c r="AL30" s="17"/>
      <c r="AM30" s="17"/>
      <c r="AP30" s="17"/>
    </row>
    <row r="31" spans="20:42" x14ac:dyDescent="0.2">
      <c r="T31" s="74"/>
      <c r="U31" s="74"/>
      <c r="V31" s="75"/>
      <c r="Y31" s="74"/>
      <c r="AJ31" s="17"/>
      <c r="AL31" s="17"/>
      <c r="AM31" s="17"/>
      <c r="AP31" s="17"/>
    </row>
    <row r="32" spans="20:42" x14ac:dyDescent="0.2">
      <c r="T32" s="74"/>
      <c r="U32" s="74"/>
      <c r="V32" s="75"/>
      <c r="Y32" s="74"/>
      <c r="AJ32" s="17"/>
      <c r="AL32" s="17"/>
      <c r="AM32" s="17"/>
      <c r="AP32" s="17"/>
    </row>
    <row r="33" spans="20:42" x14ac:dyDescent="0.2">
      <c r="T33" s="74"/>
      <c r="U33" s="74"/>
      <c r="V33" s="75"/>
      <c r="Y33" s="74"/>
      <c r="AJ33" s="17"/>
      <c r="AL33" s="17"/>
      <c r="AM33" s="17"/>
      <c r="AP33" s="17"/>
    </row>
    <row r="34" spans="20:42" x14ac:dyDescent="0.2">
      <c r="T34" s="74"/>
      <c r="U34" s="74"/>
      <c r="V34" s="75"/>
      <c r="Y34" s="74"/>
      <c r="AJ34" s="17"/>
      <c r="AL34" s="17"/>
      <c r="AM34" s="17"/>
      <c r="AP34" s="17"/>
    </row>
    <row r="35" spans="20:42" x14ac:dyDescent="0.2">
      <c r="T35" s="74"/>
      <c r="U35" s="74"/>
      <c r="V35" s="75"/>
      <c r="Y35" s="74"/>
      <c r="AJ35" s="17"/>
      <c r="AL35" s="17"/>
      <c r="AM35" s="17"/>
      <c r="AP35" s="17"/>
    </row>
    <row r="36" spans="20:42" x14ac:dyDescent="0.2">
      <c r="T36" s="74"/>
      <c r="U36" s="74"/>
      <c r="V36" s="75"/>
      <c r="Y36" s="74"/>
      <c r="AJ36" s="17"/>
      <c r="AL36" s="17"/>
      <c r="AM36" s="17"/>
      <c r="AP36" s="17"/>
    </row>
    <row r="37" spans="20:42" x14ac:dyDescent="0.2">
      <c r="T37" s="74"/>
      <c r="U37" s="74"/>
      <c r="V37" s="75"/>
      <c r="Y37" s="74"/>
      <c r="AJ37" s="17"/>
      <c r="AL37" s="17"/>
      <c r="AM37" s="17"/>
      <c r="AP37" s="17"/>
    </row>
    <row r="38" spans="20:42" x14ac:dyDescent="0.2">
      <c r="T38" s="74"/>
      <c r="U38" s="74"/>
      <c r="V38" s="75"/>
      <c r="Y38" s="74"/>
      <c r="AJ38" s="17"/>
      <c r="AL38" s="17"/>
      <c r="AM38" s="17"/>
      <c r="AP38" s="17"/>
    </row>
    <row r="39" spans="20:42" x14ac:dyDescent="0.2">
      <c r="T39" s="74"/>
      <c r="U39" s="74"/>
      <c r="V39" s="75"/>
      <c r="Y39" s="74"/>
      <c r="AJ39" s="17"/>
      <c r="AL39" s="17"/>
      <c r="AM39" s="17"/>
      <c r="AP39" s="17"/>
    </row>
    <row r="40" spans="20:42" x14ac:dyDescent="0.2">
      <c r="T40" s="74"/>
      <c r="U40" s="74"/>
      <c r="V40" s="75"/>
      <c r="Y40" s="74"/>
      <c r="AJ40" s="17"/>
      <c r="AL40" s="17"/>
      <c r="AM40" s="17"/>
      <c r="AP40" s="17"/>
    </row>
    <row r="41" spans="20:42" x14ac:dyDescent="0.2">
      <c r="T41" s="74"/>
      <c r="U41" s="74"/>
      <c r="V41" s="75"/>
      <c r="Y41" s="74"/>
      <c r="AJ41" s="17"/>
      <c r="AL41" s="17"/>
      <c r="AM41" s="17"/>
      <c r="AP41" s="17"/>
    </row>
    <row r="42" spans="20:42" x14ac:dyDescent="0.2">
      <c r="T42" s="74"/>
      <c r="U42" s="74"/>
      <c r="V42" s="75"/>
      <c r="Y42" s="74"/>
      <c r="AJ42" s="17"/>
      <c r="AL42" s="17"/>
      <c r="AM42" s="17"/>
      <c r="AP42" s="17"/>
    </row>
    <row r="43" spans="20:42" x14ac:dyDescent="0.2">
      <c r="T43" s="74"/>
      <c r="U43" s="74"/>
      <c r="V43" s="75"/>
      <c r="Y43" s="74"/>
      <c r="AJ43" s="17"/>
      <c r="AL43" s="17"/>
      <c r="AM43" s="17"/>
      <c r="AP43" s="17"/>
    </row>
    <row r="44" spans="20:42" x14ac:dyDescent="0.2">
      <c r="T44" s="74"/>
      <c r="U44" s="74"/>
      <c r="V44" s="75"/>
      <c r="Y44" s="74"/>
      <c r="AJ44" s="17"/>
      <c r="AL44" s="17"/>
      <c r="AM44" s="17"/>
      <c r="AP44" s="17"/>
    </row>
    <row r="45" spans="20:42" x14ac:dyDescent="0.2">
      <c r="T45" s="74"/>
      <c r="U45" s="74"/>
      <c r="V45" s="75"/>
      <c r="Y45" s="74"/>
      <c r="AJ45" s="17"/>
      <c r="AL45" s="17"/>
      <c r="AM45" s="17"/>
      <c r="AP45" s="17"/>
    </row>
    <row r="46" spans="20:42" x14ac:dyDescent="0.2">
      <c r="T46" s="74"/>
      <c r="U46" s="74"/>
      <c r="V46" s="75"/>
      <c r="Y46" s="74"/>
      <c r="AJ46" s="17"/>
      <c r="AL46" s="17"/>
      <c r="AM46" s="17"/>
      <c r="AP46" s="17"/>
    </row>
    <row r="47" spans="20:42" x14ac:dyDescent="0.2">
      <c r="T47" s="74"/>
      <c r="U47" s="74"/>
      <c r="V47" s="75"/>
      <c r="Y47" s="74"/>
      <c r="AJ47" s="17"/>
      <c r="AL47" s="17"/>
      <c r="AM47" s="17"/>
      <c r="AP47" s="17"/>
    </row>
    <row r="48" spans="20:42" x14ac:dyDescent="0.2">
      <c r="T48" s="74"/>
      <c r="U48" s="74"/>
      <c r="V48" s="75"/>
      <c r="Y48" s="74"/>
      <c r="AJ48" s="17"/>
      <c r="AL48" s="17"/>
      <c r="AM48" s="17"/>
      <c r="AP48" s="17"/>
    </row>
    <row r="49" spans="20:42" x14ac:dyDescent="0.2">
      <c r="T49" s="74"/>
      <c r="U49" s="74"/>
      <c r="V49" s="75"/>
      <c r="Y49" s="74"/>
      <c r="AJ49" s="17"/>
      <c r="AL49" s="17"/>
      <c r="AM49" s="17"/>
      <c r="AP49" s="17"/>
    </row>
    <row r="50" spans="20:42" x14ac:dyDescent="0.2">
      <c r="T50" s="74"/>
      <c r="U50" s="74"/>
      <c r="V50" s="75"/>
      <c r="Y50" s="74"/>
      <c r="AJ50" s="17"/>
      <c r="AL50" s="17"/>
      <c r="AM50" s="17"/>
      <c r="AP50" s="17"/>
    </row>
    <row r="51" spans="20:42" x14ac:dyDescent="0.2">
      <c r="T51" s="74"/>
      <c r="U51" s="74"/>
      <c r="V51" s="75"/>
      <c r="Y51" s="74"/>
      <c r="AJ51" s="17"/>
      <c r="AL51" s="17"/>
      <c r="AM51" s="17"/>
      <c r="AP51" s="17"/>
    </row>
    <row r="52" spans="20:42" x14ac:dyDescent="0.2">
      <c r="T52" s="74"/>
      <c r="U52" s="74"/>
      <c r="V52" s="75"/>
      <c r="Y52" s="74"/>
      <c r="AJ52" s="17"/>
      <c r="AL52" s="17"/>
      <c r="AM52" s="17"/>
      <c r="AP52" s="17"/>
    </row>
    <row r="53" spans="20:42" x14ac:dyDescent="0.2">
      <c r="T53" s="74"/>
      <c r="U53" s="74"/>
      <c r="V53" s="75"/>
      <c r="Y53" s="74"/>
      <c r="AJ53" s="17"/>
      <c r="AL53" s="17"/>
      <c r="AM53" s="17"/>
      <c r="AP53" s="17"/>
    </row>
    <row r="54" spans="20:42" x14ac:dyDescent="0.2">
      <c r="T54" s="74"/>
      <c r="U54" s="74"/>
      <c r="V54" s="75"/>
      <c r="Y54" s="74"/>
      <c r="AJ54" s="17"/>
      <c r="AL54" s="17"/>
      <c r="AM54" s="17"/>
      <c r="AP54" s="17"/>
    </row>
    <row r="55" spans="20:42" x14ac:dyDescent="0.2">
      <c r="T55" s="74"/>
      <c r="U55" s="74"/>
      <c r="V55" s="75"/>
      <c r="Y55" s="74"/>
      <c r="AJ55" s="17"/>
      <c r="AL55" s="17"/>
      <c r="AM55" s="17"/>
      <c r="AP55" s="17"/>
    </row>
    <row r="56" spans="20:42" x14ac:dyDescent="0.2">
      <c r="T56" s="74"/>
      <c r="U56" s="74"/>
      <c r="V56" s="75"/>
      <c r="Y56" s="74"/>
      <c r="AJ56" s="17"/>
      <c r="AL56" s="17"/>
      <c r="AM56" s="17"/>
      <c r="AP56" s="17"/>
    </row>
    <row r="57" spans="20:42" x14ac:dyDescent="0.2">
      <c r="T57" s="74"/>
      <c r="U57" s="74"/>
      <c r="V57" s="75"/>
      <c r="Y57" s="74"/>
      <c r="AJ57" s="17"/>
      <c r="AL57" s="17"/>
      <c r="AM57" s="17"/>
      <c r="AP57" s="17"/>
    </row>
    <row r="58" spans="20:42" x14ac:dyDescent="0.2">
      <c r="T58" s="74"/>
      <c r="U58" s="74"/>
      <c r="V58" s="75"/>
      <c r="Y58" s="74"/>
      <c r="AJ58" s="17"/>
      <c r="AL58" s="17"/>
      <c r="AM58" s="17"/>
      <c r="AP58" s="17"/>
    </row>
    <row r="59" spans="20:42" x14ac:dyDescent="0.2">
      <c r="T59" s="74"/>
      <c r="U59" s="74"/>
      <c r="V59" s="75"/>
      <c r="Y59" s="74"/>
      <c r="AJ59" s="17"/>
      <c r="AL59" s="17"/>
      <c r="AM59" s="17"/>
      <c r="AP59" s="17"/>
    </row>
    <row r="60" spans="20:42" x14ac:dyDescent="0.2">
      <c r="T60" s="74"/>
      <c r="U60" s="74"/>
      <c r="V60" s="75"/>
      <c r="Y60" s="74"/>
      <c r="AJ60" s="17"/>
      <c r="AL60" s="17"/>
      <c r="AM60" s="17"/>
      <c r="AP60" s="17"/>
    </row>
    <row r="61" spans="20:42" x14ac:dyDescent="0.2">
      <c r="T61" s="74"/>
      <c r="U61" s="74"/>
      <c r="V61" s="75"/>
      <c r="Y61" s="74"/>
      <c r="AJ61" s="17"/>
      <c r="AL61" s="17"/>
      <c r="AM61" s="17"/>
      <c r="AP61" s="17"/>
    </row>
    <row r="62" spans="20:42" x14ac:dyDescent="0.2">
      <c r="T62" s="74"/>
      <c r="U62" s="74"/>
      <c r="V62" s="75"/>
      <c r="Y62" s="74"/>
      <c r="AJ62" s="17"/>
      <c r="AL62" s="17"/>
      <c r="AM62" s="17"/>
      <c r="AP62" s="17"/>
    </row>
    <row r="63" spans="20:42" x14ac:dyDescent="0.2">
      <c r="T63" s="74"/>
      <c r="U63" s="74"/>
      <c r="V63" s="75"/>
      <c r="Y63" s="74"/>
      <c r="AJ63" s="17"/>
      <c r="AL63" s="17"/>
      <c r="AM63" s="17"/>
      <c r="AP63" s="17"/>
    </row>
    <row r="64" spans="20:42" x14ac:dyDescent="0.2">
      <c r="T64" s="74"/>
      <c r="U64" s="74"/>
      <c r="V64" s="75"/>
      <c r="Y64" s="74"/>
      <c r="AJ64" s="17"/>
      <c r="AL64" s="17"/>
      <c r="AM64" s="17"/>
      <c r="AP64" s="17"/>
    </row>
    <row r="65" spans="20:42" x14ac:dyDescent="0.2">
      <c r="T65" s="74"/>
      <c r="U65" s="74"/>
      <c r="V65" s="75"/>
      <c r="Y65" s="74"/>
      <c r="AJ65" s="17"/>
      <c r="AL65" s="17"/>
      <c r="AM65" s="17"/>
      <c r="AP65" s="17"/>
    </row>
    <row r="66" spans="20:42" x14ac:dyDescent="0.2">
      <c r="T66" s="74"/>
      <c r="U66" s="74"/>
      <c r="V66" s="75"/>
      <c r="Y66" s="74"/>
      <c r="AJ66" s="17"/>
      <c r="AL66" s="17"/>
      <c r="AM66" s="17"/>
      <c r="AP66" s="17"/>
    </row>
    <row r="67" spans="20:42" x14ac:dyDescent="0.2">
      <c r="T67" s="74"/>
      <c r="U67" s="74"/>
      <c r="V67" s="75"/>
      <c r="Y67" s="74"/>
      <c r="AJ67" s="17"/>
      <c r="AL67" s="17"/>
      <c r="AM67" s="17"/>
      <c r="AP67" s="17"/>
    </row>
    <row r="68" spans="20:42" x14ac:dyDescent="0.2">
      <c r="T68" s="74"/>
      <c r="U68" s="74"/>
      <c r="V68" s="75"/>
      <c r="Y68" s="74"/>
      <c r="AJ68" s="17"/>
      <c r="AL68" s="17"/>
      <c r="AM68" s="17"/>
      <c r="AP68" s="17"/>
    </row>
    <row r="69" spans="20:42" x14ac:dyDescent="0.2">
      <c r="T69" s="74"/>
      <c r="U69" s="74"/>
      <c r="V69" s="75"/>
      <c r="Y69" s="74"/>
      <c r="AJ69" s="17"/>
      <c r="AL69" s="17"/>
      <c r="AM69" s="17"/>
      <c r="AP69" s="17"/>
    </row>
    <row r="70" spans="20:42" x14ac:dyDescent="0.2">
      <c r="T70" s="74"/>
      <c r="U70" s="74"/>
      <c r="V70" s="75"/>
      <c r="Y70" s="74"/>
      <c r="AJ70" s="17"/>
      <c r="AL70" s="17"/>
      <c r="AM70" s="17"/>
      <c r="AP70" s="17"/>
    </row>
    <row r="71" spans="20:42" x14ac:dyDescent="0.2">
      <c r="T71" s="74"/>
      <c r="U71" s="74"/>
      <c r="V71" s="75"/>
      <c r="Y71" s="74"/>
      <c r="AJ71" s="17"/>
      <c r="AL71" s="17"/>
      <c r="AM71" s="17"/>
      <c r="AP71" s="17"/>
    </row>
    <row r="72" spans="20:42" x14ac:dyDescent="0.2">
      <c r="T72" s="74"/>
      <c r="U72" s="74"/>
      <c r="V72" s="75"/>
      <c r="Y72" s="74"/>
      <c r="AJ72" s="17"/>
      <c r="AL72" s="17"/>
      <c r="AM72" s="17"/>
      <c r="AP72" s="17"/>
    </row>
    <row r="73" spans="20:42" x14ac:dyDescent="0.2">
      <c r="T73" s="74"/>
      <c r="U73" s="74"/>
      <c r="V73" s="75"/>
      <c r="Y73" s="74"/>
      <c r="AJ73" s="17"/>
      <c r="AL73" s="17"/>
      <c r="AM73" s="17"/>
      <c r="AP73" s="17"/>
    </row>
    <row r="74" spans="20:42" x14ac:dyDescent="0.2">
      <c r="T74" s="74"/>
      <c r="U74" s="74"/>
      <c r="V74" s="75"/>
      <c r="Y74" s="74"/>
      <c r="AJ74" s="17"/>
      <c r="AL74" s="17"/>
      <c r="AM74" s="17"/>
      <c r="AP74" s="17"/>
    </row>
    <row r="75" spans="20:42" x14ac:dyDescent="0.2">
      <c r="T75" s="74"/>
      <c r="U75" s="74"/>
      <c r="V75" s="75"/>
      <c r="Y75" s="74"/>
      <c r="AJ75" s="17"/>
      <c r="AL75" s="17"/>
      <c r="AM75" s="17"/>
      <c r="AP75" s="17"/>
    </row>
    <row r="76" spans="20:42" x14ac:dyDescent="0.2">
      <c r="T76" s="74"/>
      <c r="U76" s="74"/>
      <c r="V76" s="75"/>
      <c r="Y76" s="74"/>
      <c r="AJ76" s="17"/>
      <c r="AL76" s="17"/>
      <c r="AM76" s="17"/>
      <c r="AP76" s="17"/>
    </row>
    <row r="77" spans="20:42" x14ac:dyDescent="0.2">
      <c r="T77" s="74"/>
      <c r="U77" s="74"/>
      <c r="V77" s="75"/>
      <c r="Y77" s="74"/>
      <c r="AJ77" s="17"/>
      <c r="AL77" s="17"/>
      <c r="AM77" s="17"/>
      <c r="AP77" s="17"/>
    </row>
    <row r="78" spans="20:42" x14ac:dyDescent="0.2">
      <c r="T78" s="74"/>
      <c r="U78" s="74"/>
      <c r="V78" s="75"/>
      <c r="Y78" s="74"/>
      <c r="AJ78" s="17"/>
      <c r="AL78" s="17"/>
      <c r="AM78" s="17"/>
      <c r="AP78" s="17"/>
    </row>
    <row r="79" spans="20:42" x14ac:dyDescent="0.2">
      <c r="T79" s="74"/>
      <c r="U79" s="74"/>
      <c r="V79" s="75"/>
      <c r="Y79" s="74"/>
      <c r="AJ79" s="17"/>
      <c r="AL79" s="17"/>
      <c r="AM79" s="17"/>
      <c r="AP79" s="17"/>
    </row>
    <row r="80" spans="20:42" x14ac:dyDescent="0.2">
      <c r="T80" s="74"/>
      <c r="U80" s="74"/>
      <c r="V80" s="75"/>
      <c r="Y80" s="74"/>
      <c r="AJ80" s="17"/>
      <c r="AL80" s="17"/>
      <c r="AM80" s="17"/>
      <c r="AP80" s="17"/>
    </row>
    <row r="81" spans="20:42" x14ac:dyDescent="0.2">
      <c r="T81" s="74"/>
      <c r="U81" s="74"/>
      <c r="V81" s="75"/>
      <c r="Y81" s="74"/>
      <c r="AJ81" s="17"/>
      <c r="AL81" s="17"/>
      <c r="AM81" s="17"/>
      <c r="AP81" s="17"/>
    </row>
    <row r="82" spans="20:42" x14ac:dyDescent="0.2">
      <c r="T82" s="74"/>
      <c r="U82" s="74"/>
      <c r="V82" s="75"/>
      <c r="Y82" s="74"/>
      <c r="AJ82" s="17"/>
      <c r="AL82" s="17"/>
      <c r="AM82" s="17"/>
      <c r="AP82" s="17"/>
    </row>
    <row r="83" spans="20:42" x14ac:dyDescent="0.2">
      <c r="T83" s="74"/>
      <c r="U83" s="74"/>
      <c r="V83" s="75"/>
      <c r="Y83" s="74"/>
      <c r="AJ83" s="17"/>
      <c r="AL83" s="17"/>
      <c r="AM83" s="17"/>
      <c r="AP83" s="17"/>
    </row>
    <row r="84" spans="20:42" x14ac:dyDescent="0.2">
      <c r="T84" s="74"/>
      <c r="U84" s="74"/>
      <c r="V84" s="75"/>
      <c r="Y84" s="74"/>
      <c r="AJ84" s="17"/>
      <c r="AL84" s="17"/>
      <c r="AM84" s="17"/>
      <c r="AP84" s="17"/>
    </row>
    <row r="85" spans="20:42" x14ac:dyDescent="0.2">
      <c r="T85" s="74"/>
      <c r="U85" s="74"/>
      <c r="V85" s="75"/>
      <c r="Y85" s="74"/>
      <c r="AJ85" s="17"/>
      <c r="AL85" s="17"/>
      <c r="AM85" s="17"/>
      <c r="AP85" s="17"/>
    </row>
    <row r="86" spans="20:42" x14ac:dyDescent="0.2">
      <c r="T86" s="74"/>
      <c r="U86" s="74"/>
      <c r="V86" s="75"/>
      <c r="Y86" s="74"/>
      <c r="AJ86" s="17"/>
      <c r="AL86" s="17"/>
      <c r="AM86" s="17"/>
      <c r="AP86" s="17"/>
    </row>
    <row r="87" spans="20:42" x14ac:dyDescent="0.2">
      <c r="T87" s="74"/>
      <c r="U87" s="74"/>
      <c r="V87" s="75"/>
      <c r="Y87" s="74"/>
      <c r="AJ87" s="17"/>
      <c r="AL87" s="17"/>
      <c r="AM87" s="17"/>
      <c r="AP87" s="17"/>
    </row>
    <row r="88" spans="20:42" x14ac:dyDescent="0.2">
      <c r="T88" s="74"/>
      <c r="U88" s="74"/>
      <c r="V88" s="75"/>
      <c r="Y88" s="74"/>
      <c r="AJ88" s="17"/>
      <c r="AL88" s="17"/>
      <c r="AM88" s="17"/>
      <c r="AP88" s="17"/>
    </row>
    <row r="89" spans="20:42" x14ac:dyDescent="0.2">
      <c r="T89" s="74"/>
      <c r="U89" s="74"/>
      <c r="V89" s="75"/>
      <c r="Y89" s="74"/>
      <c r="AJ89" s="17"/>
      <c r="AL89" s="17"/>
      <c r="AM89" s="17"/>
      <c r="AP89" s="17"/>
    </row>
    <row r="90" spans="20:42" x14ac:dyDescent="0.2">
      <c r="T90" s="74"/>
      <c r="U90" s="74"/>
      <c r="V90" s="75"/>
      <c r="Y90" s="74"/>
      <c r="AJ90" s="17"/>
      <c r="AL90" s="17"/>
      <c r="AM90" s="17"/>
      <c r="AP90" s="17"/>
    </row>
    <row r="91" spans="20:42" x14ac:dyDescent="0.2">
      <c r="T91" s="74"/>
      <c r="U91" s="74"/>
      <c r="V91" s="75"/>
      <c r="Y91" s="74"/>
      <c r="AJ91" s="17"/>
      <c r="AL91" s="17"/>
      <c r="AM91" s="17"/>
      <c r="AP91" s="17"/>
    </row>
    <row r="92" spans="20:42" x14ac:dyDescent="0.2">
      <c r="T92" s="74"/>
      <c r="U92" s="74"/>
      <c r="V92" s="75"/>
      <c r="Y92" s="74"/>
      <c r="AJ92" s="17"/>
      <c r="AL92" s="17"/>
      <c r="AM92" s="17"/>
      <c r="AP92" s="17"/>
    </row>
    <row r="93" spans="20:42" x14ac:dyDescent="0.2">
      <c r="T93" s="74"/>
      <c r="U93" s="74"/>
      <c r="V93" s="75"/>
      <c r="Y93" s="74"/>
      <c r="AJ93" s="17"/>
      <c r="AL93" s="17"/>
      <c r="AM93" s="17"/>
      <c r="AP93" s="17"/>
    </row>
    <row r="94" spans="20:42" x14ac:dyDescent="0.2">
      <c r="T94" s="74"/>
      <c r="U94" s="74"/>
      <c r="V94" s="75"/>
      <c r="Y94" s="74"/>
      <c r="AJ94" s="17"/>
      <c r="AL94" s="17"/>
      <c r="AM94" s="17"/>
      <c r="AP94" s="17"/>
    </row>
    <row r="95" spans="20:42" x14ac:dyDescent="0.2">
      <c r="T95" s="74"/>
      <c r="U95" s="74"/>
      <c r="V95" s="75"/>
      <c r="Y95" s="74"/>
      <c r="AJ95" s="17"/>
      <c r="AL95" s="17"/>
      <c r="AM95" s="17"/>
      <c r="AP95" s="17"/>
    </row>
    <row r="96" spans="20:42" x14ac:dyDescent="0.2">
      <c r="T96" s="74"/>
      <c r="U96" s="74"/>
      <c r="V96" s="75"/>
      <c r="Y96" s="74"/>
      <c r="AJ96" s="17"/>
      <c r="AL96" s="17"/>
      <c r="AM96" s="17"/>
      <c r="AP96" s="17"/>
    </row>
    <row r="97" spans="20:42" x14ac:dyDescent="0.2">
      <c r="T97" s="74"/>
      <c r="U97" s="74"/>
      <c r="V97" s="75"/>
      <c r="Y97" s="74"/>
      <c r="AJ97" s="17"/>
      <c r="AL97" s="17"/>
      <c r="AM97" s="17"/>
      <c r="AP97" s="17"/>
    </row>
    <row r="98" spans="20:42" x14ac:dyDescent="0.2">
      <c r="T98" s="74"/>
      <c r="U98" s="74"/>
      <c r="V98" s="75"/>
      <c r="Y98" s="74"/>
      <c r="AJ98" s="17"/>
      <c r="AL98" s="17"/>
      <c r="AM98" s="17"/>
      <c r="AP98" s="17"/>
    </row>
    <row r="99" spans="20:42" x14ac:dyDescent="0.2">
      <c r="T99" s="74"/>
      <c r="U99" s="74"/>
      <c r="V99" s="75"/>
      <c r="Y99" s="74"/>
      <c r="AJ99" s="17"/>
      <c r="AL99" s="17"/>
      <c r="AM99" s="17"/>
      <c r="AP99" s="17"/>
    </row>
    <row r="100" spans="20:42" x14ac:dyDescent="0.2">
      <c r="T100" s="74"/>
      <c r="U100" s="74"/>
      <c r="V100" s="75"/>
      <c r="Y100" s="74"/>
      <c r="AJ100" s="17"/>
      <c r="AL100" s="17"/>
      <c r="AM100" s="17"/>
      <c r="AP100" s="17"/>
    </row>
    <row r="101" spans="20:42" x14ac:dyDescent="0.2">
      <c r="T101" s="74"/>
      <c r="U101" s="74"/>
      <c r="V101" s="75"/>
      <c r="Y101" s="74"/>
      <c r="AJ101" s="17"/>
      <c r="AL101" s="17"/>
      <c r="AM101" s="17"/>
      <c r="AP101" s="17"/>
    </row>
    <row r="102" spans="20:42" x14ac:dyDescent="0.2">
      <c r="T102" s="74"/>
      <c r="U102" s="74"/>
      <c r="V102" s="75"/>
      <c r="Y102" s="74"/>
      <c r="AJ102" s="17"/>
      <c r="AL102" s="17"/>
      <c r="AM102" s="17"/>
      <c r="AP102" s="17"/>
    </row>
    <row r="103" spans="20:42" x14ac:dyDescent="0.2">
      <c r="T103" s="74"/>
      <c r="U103" s="74"/>
      <c r="V103" s="75"/>
      <c r="Y103" s="74"/>
      <c r="AJ103" s="17"/>
      <c r="AL103" s="17"/>
      <c r="AM103" s="17"/>
      <c r="AP103" s="17"/>
    </row>
    <row r="104" spans="20:42" x14ac:dyDescent="0.2">
      <c r="T104" s="74"/>
      <c r="U104" s="74"/>
      <c r="V104" s="75"/>
      <c r="Y104" s="74"/>
      <c r="AJ104" s="17"/>
      <c r="AL104" s="17"/>
      <c r="AM104" s="17"/>
      <c r="AP104" s="17"/>
    </row>
    <row r="105" spans="20:42" x14ac:dyDescent="0.2">
      <c r="T105" s="74"/>
      <c r="U105" s="74"/>
      <c r="V105" s="75"/>
      <c r="Y105" s="74"/>
      <c r="AJ105" s="17"/>
      <c r="AL105" s="17"/>
      <c r="AM105" s="17"/>
      <c r="AP105" s="17"/>
    </row>
    <row r="106" spans="20:42" x14ac:dyDescent="0.2">
      <c r="T106" s="74"/>
      <c r="U106" s="74"/>
      <c r="V106" s="75"/>
      <c r="Y106" s="74"/>
      <c r="AJ106" s="17"/>
      <c r="AL106" s="17"/>
      <c r="AM106" s="17"/>
      <c r="AP106" s="17"/>
    </row>
    <row r="107" spans="20:42" x14ac:dyDescent="0.2">
      <c r="T107" s="74"/>
      <c r="U107" s="74"/>
      <c r="V107" s="75"/>
      <c r="Y107" s="74"/>
      <c r="AJ107" s="17"/>
      <c r="AL107" s="17"/>
      <c r="AM107" s="17"/>
      <c r="AP107" s="17"/>
    </row>
    <row r="108" spans="20:42" x14ac:dyDescent="0.2">
      <c r="T108" s="74"/>
      <c r="U108" s="74"/>
      <c r="V108" s="75"/>
      <c r="Y108" s="74"/>
      <c r="AJ108" s="17"/>
      <c r="AL108" s="17"/>
      <c r="AM108" s="17"/>
      <c r="AP108" s="17"/>
    </row>
    <row r="109" spans="20:42" x14ac:dyDescent="0.2">
      <c r="T109" s="74"/>
      <c r="U109" s="74"/>
      <c r="V109" s="75"/>
      <c r="Y109" s="74"/>
      <c r="AJ109" s="17"/>
      <c r="AL109" s="17"/>
      <c r="AM109" s="17"/>
      <c r="AP109" s="17"/>
    </row>
    <row r="110" spans="20:42" x14ac:dyDescent="0.2">
      <c r="T110" s="74"/>
      <c r="U110" s="74"/>
      <c r="V110" s="75"/>
      <c r="Y110" s="74"/>
      <c r="AJ110" s="17"/>
      <c r="AL110" s="17"/>
      <c r="AM110" s="17"/>
      <c r="AP110" s="17"/>
    </row>
    <row r="111" spans="20:42" x14ac:dyDescent="0.2">
      <c r="T111" s="74"/>
      <c r="U111" s="74"/>
      <c r="V111" s="75"/>
      <c r="Y111" s="74"/>
      <c r="AJ111" s="17"/>
      <c r="AL111" s="17"/>
      <c r="AM111" s="17"/>
      <c r="AP111" s="17"/>
    </row>
    <row r="112" spans="20:42" x14ac:dyDescent="0.2">
      <c r="T112" s="74"/>
      <c r="U112" s="74"/>
      <c r="V112" s="75"/>
      <c r="Y112" s="74"/>
      <c r="AJ112" s="17"/>
      <c r="AL112" s="17"/>
      <c r="AM112" s="17"/>
      <c r="AP112" s="17"/>
    </row>
    <row r="113" spans="20:42" x14ac:dyDescent="0.2">
      <c r="T113" s="74"/>
      <c r="U113" s="74"/>
      <c r="V113" s="75"/>
      <c r="Y113" s="74"/>
      <c r="AJ113" s="17"/>
      <c r="AL113" s="17"/>
      <c r="AM113" s="17"/>
      <c r="AP113" s="17"/>
    </row>
    <row r="114" spans="20:42" x14ac:dyDescent="0.2">
      <c r="T114" s="74"/>
      <c r="U114" s="74"/>
      <c r="V114" s="75"/>
      <c r="Y114" s="74"/>
      <c r="AJ114" s="17"/>
      <c r="AL114" s="17"/>
      <c r="AM114" s="17"/>
      <c r="AP114" s="17"/>
    </row>
    <row r="115" spans="20:42" x14ac:dyDescent="0.2">
      <c r="T115" s="74"/>
      <c r="U115" s="74"/>
      <c r="V115" s="75"/>
      <c r="Y115" s="74"/>
      <c r="AJ115" s="17"/>
      <c r="AL115" s="17"/>
      <c r="AM115" s="17"/>
      <c r="AP115" s="17"/>
    </row>
    <row r="116" spans="20:42" x14ac:dyDescent="0.2">
      <c r="T116" s="74"/>
      <c r="U116" s="74"/>
      <c r="V116" s="75"/>
      <c r="Y116" s="74"/>
      <c r="AJ116" s="17"/>
      <c r="AL116" s="17"/>
      <c r="AM116" s="17"/>
      <c r="AP116" s="17"/>
    </row>
    <row r="117" spans="20:42" x14ac:dyDescent="0.2">
      <c r="T117" s="74"/>
      <c r="U117" s="74"/>
      <c r="V117" s="75"/>
      <c r="Y117" s="74"/>
      <c r="AJ117" s="17"/>
      <c r="AL117" s="17"/>
      <c r="AM117" s="17"/>
      <c r="AP117" s="17"/>
    </row>
    <row r="118" spans="20:42" x14ac:dyDescent="0.2">
      <c r="T118" s="74"/>
      <c r="U118" s="74"/>
      <c r="V118" s="75"/>
      <c r="Y118" s="74"/>
      <c r="AJ118" s="17"/>
      <c r="AL118" s="17"/>
      <c r="AM118" s="17"/>
      <c r="AP118" s="17"/>
    </row>
    <row r="119" spans="20:42" x14ac:dyDescent="0.2">
      <c r="T119" s="74"/>
      <c r="U119" s="74"/>
      <c r="V119" s="75"/>
      <c r="Y119" s="74"/>
      <c r="AJ119" s="17"/>
      <c r="AL119" s="17"/>
      <c r="AM119" s="17"/>
      <c r="AP119" s="17"/>
    </row>
    <row r="120" spans="20:42" x14ac:dyDescent="0.2">
      <c r="T120" s="74"/>
      <c r="U120" s="74"/>
      <c r="V120" s="75"/>
      <c r="Y120" s="74"/>
      <c r="AJ120" s="17"/>
      <c r="AL120" s="17"/>
      <c r="AM120" s="17"/>
      <c r="AP120" s="17"/>
    </row>
    <row r="121" spans="20:42" x14ac:dyDescent="0.2">
      <c r="T121" s="74"/>
      <c r="U121" s="74"/>
      <c r="V121" s="75"/>
      <c r="Y121" s="74"/>
      <c r="AJ121" s="17"/>
      <c r="AL121" s="17"/>
      <c r="AM121" s="17"/>
      <c r="AP121" s="17"/>
    </row>
    <row r="122" spans="20:42" x14ac:dyDescent="0.2">
      <c r="T122" s="74"/>
      <c r="U122" s="74"/>
      <c r="V122" s="75"/>
      <c r="Y122" s="74"/>
      <c r="AJ122" s="17"/>
      <c r="AL122" s="17"/>
      <c r="AM122" s="17"/>
      <c r="AP122" s="17"/>
    </row>
    <row r="123" spans="20:42" x14ac:dyDescent="0.2">
      <c r="T123" s="74"/>
      <c r="U123" s="74"/>
      <c r="V123" s="75"/>
      <c r="Y123" s="74"/>
      <c r="AJ123" s="17"/>
      <c r="AL123" s="17"/>
      <c r="AM123" s="17"/>
      <c r="AP123" s="17"/>
    </row>
    <row r="124" spans="20:42" x14ac:dyDescent="0.2">
      <c r="T124" s="74"/>
      <c r="U124" s="74"/>
      <c r="V124" s="75"/>
      <c r="Y124" s="74"/>
      <c r="AJ124" s="17"/>
      <c r="AL124" s="17"/>
      <c r="AM124" s="17"/>
      <c r="AP124" s="17"/>
    </row>
    <row r="125" spans="20:42" x14ac:dyDescent="0.2">
      <c r="T125" s="74"/>
      <c r="U125" s="74"/>
      <c r="V125" s="75"/>
      <c r="Y125" s="74"/>
      <c r="AJ125" s="17"/>
      <c r="AL125" s="17"/>
      <c r="AM125" s="17"/>
      <c r="AP125" s="17"/>
    </row>
    <row r="126" spans="20:42" x14ac:dyDescent="0.2">
      <c r="T126" s="74"/>
      <c r="U126" s="74"/>
      <c r="V126" s="75"/>
      <c r="Y126" s="74"/>
      <c r="AJ126" s="17"/>
      <c r="AL126" s="17"/>
      <c r="AM126" s="17"/>
      <c r="AP126" s="17"/>
    </row>
    <row r="127" spans="20:42" x14ac:dyDescent="0.2">
      <c r="T127" s="74"/>
      <c r="U127" s="74"/>
      <c r="V127" s="75"/>
      <c r="Y127" s="74"/>
      <c r="AJ127" s="17"/>
      <c r="AL127" s="17"/>
      <c r="AM127" s="17"/>
      <c r="AP127" s="17"/>
    </row>
    <row r="128" spans="20:42" x14ac:dyDescent="0.2">
      <c r="T128" s="74"/>
      <c r="U128" s="74"/>
      <c r="V128" s="75"/>
      <c r="Y128" s="74"/>
      <c r="AJ128" s="17"/>
      <c r="AL128" s="17"/>
      <c r="AM128" s="17"/>
      <c r="AP128" s="17"/>
    </row>
    <row r="129" spans="20:42" x14ac:dyDescent="0.2">
      <c r="T129" s="74"/>
      <c r="U129" s="74"/>
      <c r="V129" s="75"/>
      <c r="Y129" s="74"/>
      <c r="AJ129" s="17"/>
      <c r="AL129" s="17"/>
      <c r="AM129" s="17"/>
      <c r="AP129" s="17"/>
    </row>
    <row r="130" spans="20:42" x14ac:dyDescent="0.2">
      <c r="T130" s="74"/>
      <c r="U130" s="74"/>
      <c r="V130" s="75"/>
      <c r="Y130" s="74"/>
      <c r="AJ130" s="17"/>
      <c r="AL130" s="17"/>
      <c r="AM130" s="17"/>
      <c r="AP130" s="17"/>
    </row>
    <row r="131" spans="20:42" x14ac:dyDescent="0.2">
      <c r="T131" s="74"/>
      <c r="U131" s="74"/>
      <c r="V131" s="75"/>
      <c r="Y131" s="74"/>
      <c r="AJ131" s="17"/>
      <c r="AL131" s="17"/>
      <c r="AM131" s="17"/>
      <c r="AP131" s="17"/>
    </row>
    <row r="132" spans="20:42" x14ac:dyDescent="0.2">
      <c r="T132" s="74"/>
      <c r="U132" s="74"/>
      <c r="V132" s="75"/>
      <c r="Y132" s="74"/>
      <c r="AJ132" s="17"/>
      <c r="AL132" s="17"/>
      <c r="AM132" s="17"/>
      <c r="AP132" s="17"/>
    </row>
    <row r="133" spans="20:42" x14ac:dyDescent="0.2">
      <c r="T133" s="74"/>
      <c r="U133" s="74"/>
      <c r="V133" s="75"/>
      <c r="Y133" s="74"/>
      <c r="AJ133" s="17"/>
      <c r="AL133" s="17"/>
      <c r="AM133" s="17"/>
      <c r="AP133" s="17"/>
    </row>
    <row r="134" spans="20:42" x14ac:dyDescent="0.2">
      <c r="T134" s="74"/>
      <c r="U134" s="74"/>
      <c r="V134" s="75"/>
      <c r="Y134" s="74"/>
      <c r="AJ134" s="17"/>
      <c r="AL134" s="17"/>
      <c r="AM134" s="17"/>
      <c r="AP134" s="17"/>
    </row>
    <row r="135" spans="20:42" x14ac:dyDescent="0.2">
      <c r="T135" s="74"/>
      <c r="U135" s="74"/>
      <c r="V135" s="75"/>
      <c r="Y135" s="74"/>
      <c r="AJ135" s="17"/>
      <c r="AL135" s="17"/>
      <c r="AM135" s="17"/>
      <c r="AP135" s="17"/>
    </row>
    <row r="136" spans="20:42" x14ac:dyDescent="0.2">
      <c r="T136" s="74"/>
      <c r="U136" s="74"/>
      <c r="V136" s="75"/>
      <c r="Y136" s="74"/>
      <c r="AJ136" s="17"/>
      <c r="AL136" s="17"/>
      <c r="AM136" s="17"/>
      <c r="AP136" s="17"/>
    </row>
    <row r="137" spans="20:42" x14ac:dyDescent="0.2">
      <c r="T137" s="74"/>
      <c r="U137" s="74"/>
      <c r="V137" s="75"/>
      <c r="Y137" s="74"/>
      <c r="AJ137" s="17"/>
      <c r="AL137" s="17"/>
      <c r="AM137" s="17"/>
      <c r="AP137" s="17"/>
    </row>
    <row r="138" spans="20:42" x14ac:dyDescent="0.2">
      <c r="T138" s="74"/>
      <c r="U138" s="74"/>
      <c r="V138" s="75"/>
      <c r="Y138" s="74"/>
      <c r="AJ138" s="17"/>
      <c r="AL138" s="17"/>
      <c r="AM138" s="17"/>
      <c r="AP138" s="17"/>
    </row>
    <row r="139" spans="20:42" x14ac:dyDescent="0.2">
      <c r="T139" s="74"/>
      <c r="U139" s="74"/>
      <c r="V139" s="75"/>
      <c r="Y139" s="74"/>
      <c r="AJ139" s="17"/>
      <c r="AL139" s="17"/>
      <c r="AM139" s="17"/>
      <c r="AP139" s="17"/>
    </row>
    <row r="140" spans="20:42" x14ac:dyDescent="0.2">
      <c r="T140" s="74"/>
      <c r="U140" s="74"/>
      <c r="V140" s="75"/>
      <c r="Y140" s="74"/>
      <c r="AJ140" s="17"/>
      <c r="AL140" s="17"/>
      <c r="AM140" s="17"/>
      <c r="AP140" s="17"/>
    </row>
    <row r="141" spans="20:42" x14ac:dyDescent="0.2">
      <c r="T141" s="74"/>
      <c r="U141" s="74"/>
      <c r="V141" s="75"/>
      <c r="Y141" s="74"/>
      <c r="AJ141" s="17"/>
      <c r="AL141" s="17"/>
      <c r="AM141" s="17"/>
      <c r="AP141" s="17"/>
    </row>
    <row r="142" spans="20:42" x14ac:dyDescent="0.2">
      <c r="T142" s="74"/>
      <c r="U142" s="74"/>
      <c r="V142" s="75"/>
      <c r="Y142" s="74"/>
      <c r="AJ142" s="17"/>
      <c r="AL142" s="17"/>
      <c r="AM142" s="17"/>
      <c r="AP142" s="17"/>
    </row>
    <row r="143" spans="20:42" x14ac:dyDescent="0.2">
      <c r="T143" s="74"/>
      <c r="U143" s="74"/>
      <c r="V143" s="75"/>
      <c r="Y143" s="74"/>
      <c r="AJ143" s="17"/>
      <c r="AL143" s="17"/>
      <c r="AM143" s="17"/>
      <c r="AP143" s="17"/>
    </row>
    <row r="144" spans="20:42" x14ac:dyDescent="0.2">
      <c r="T144" s="74"/>
      <c r="U144" s="74"/>
      <c r="V144" s="75"/>
      <c r="Y144" s="74"/>
      <c r="AJ144" s="17"/>
      <c r="AL144" s="17"/>
      <c r="AM144" s="17"/>
      <c r="AP144" s="17"/>
    </row>
    <row r="145" spans="20:42" x14ac:dyDescent="0.2">
      <c r="T145" s="74"/>
      <c r="U145" s="74"/>
      <c r="V145" s="75"/>
      <c r="Y145" s="74"/>
      <c r="AJ145" s="17"/>
      <c r="AL145" s="17"/>
      <c r="AM145" s="17"/>
      <c r="AP145" s="17"/>
    </row>
    <row r="146" spans="20:42" x14ac:dyDescent="0.2">
      <c r="T146" s="74"/>
      <c r="U146" s="74"/>
      <c r="V146" s="75"/>
      <c r="Y146" s="74"/>
      <c r="AJ146" s="17"/>
      <c r="AL146" s="17"/>
      <c r="AM146" s="17"/>
      <c r="AP146" s="17"/>
    </row>
    <row r="147" spans="20:42" x14ac:dyDescent="0.2">
      <c r="T147" s="74"/>
      <c r="U147" s="74"/>
      <c r="V147" s="75"/>
      <c r="Y147" s="74"/>
      <c r="AJ147" s="17"/>
      <c r="AL147" s="17"/>
      <c r="AM147" s="17"/>
      <c r="AP147" s="17"/>
    </row>
    <row r="148" spans="20:42" x14ac:dyDescent="0.2">
      <c r="T148" s="74"/>
      <c r="U148" s="74"/>
      <c r="V148" s="75"/>
      <c r="Y148" s="74"/>
      <c r="AJ148" s="17"/>
      <c r="AL148" s="17"/>
      <c r="AM148" s="17"/>
      <c r="AP148" s="17"/>
    </row>
    <row r="149" spans="20:42" x14ac:dyDescent="0.2">
      <c r="T149" s="74"/>
      <c r="U149" s="74"/>
      <c r="V149" s="75"/>
      <c r="Y149" s="74"/>
      <c r="AJ149" s="17"/>
      <c r="AL149" s="17"/>
      <c r="AM149" s="17"/>
      <c r="AP149" s="17"/>
    </row>
    <row r="150" spans="20:42" x14ac:dyDescent="0.2">
      <c r="T150" s="74"/>
      <c r="U150" s="74"/>
      <c r="V150" s="75"/>
      <c r="Y150" s="74"/>
      <c r="AJ150" s="17"/>
      <c r="AL150" s="17"/>
      <c r="AM150" s="17"/>
      <c r="AP150" s="17"/>
    </row>
    <row r="151" spans="20:42" x14ac:dyDescent="0.2">
      <c r="T151" s="74"/>
      <c r="U151" s="74"/>
      <c r="V151" s="75"/>
      <c r="Y151" s="74"/>
      <c r="AJ151" s="17"/>
      <c r="AL151" s="17"/>
      <c r="AM151" s="17"/>
      <c r="AP151" s="17"/>
    </row>
    <row r="152" spans="20:42" x14ac:dyDescent="0.2">
      <c r="T152" s="74"/>
      <c r="U152" s="74"/>
      <c r="V152" s="75"/>
      <c r="Y152" s="74"/>
      <c r="AJ152" s="17"/>
      <c r="AL152" s="17"/>
      <c r="AM152" s="17"/>
      <c r="AP152" s="17"/>
    </row>
    <row r="153" spans="20:42" x14ac:dyDescent="0.2">
      <c r="T153" s="74"/>
      <c r="U153" s="74"/>
      <c r="V153" s="75"/>
      <c r="Y153" s="74"/>
      <c r="AJ153" s="17"/>
      <c r="AL153" s="17"/>
      <c r="AM153" s="17"/>
      <c r="AP153" s="17"/>
    </row>
    <row r="154" spans="20:42" x14ac:dyDescent="0.2">
      <c r="T154" s="74"/>
      <c r="U154" s="74"/>
      <c r="V154" s="75"/>
      <c r="Y154" s="74"/>
      <c r="AJ154" s="17"/>
      <c r="AL154" s="17"/>
      <c r="AM154" s="17"/>
      <c r="AP154" s="17"/>
    </row>
    <row r="155" spans="20:42" x14ac:dyDescent="0.2">
      <c r="T155" s="74"/>
      <c r="U155" s="74"/>
      <c r="V155" s="75"/>
      <c r="Y155" s="74"/>
      <c r="AJ155" s="17"/>
      <c r="AL155" s="17"/>
      <c r="AM155" s="17"/>
      <c r="AP155" s="17"/>
    </row>
    <row r="156" spans="20:42" x14ac:dyDescent="0.2">
      <c r="T156" s="74"/>
      <c r="U156" s="74"/>
      <c r="V156" s="75"/>
      <c r="Y156" s="74"/>
      <c r="AJ156" s="17"/>
      <c r="AL156" s="17"/>
      <c r="AM156" s="17"/>
      <c r="AP156" s="17"/>
    </row>
    <row r="157" spans="20:42" x14ac:dyDescent="0.2">
      <c r="T157" s="74"/>
      <c r="U157" s="74"/>
      <c r="V157" s="75"/>
      <c r="Y157" s="74"/>
      <c r="AJ157" s="17"/>
      <c r="AL157" s="17"/>
      <c r="AM157" s="17"/>
      <c r="AP157" s="17"/>
    </row>
    <row r="158" spans="20:42" x14ac:dyDescent="0.2">
      <c r="T158" s="74"/>
      <c r="U158" s="74"/>
      <c r="V158" s="75"/>
      <c r="Y158" s="74"/>
      <c r="AJ158" s="17"/>
      <c r="AL158" s="17"/>
      <c r="AM158" s="17"/>
      <c r="AP158" s="17"/>
    </row>
    <row r="159" spans="20:42" x14ac:dyDescent="0.2">
      <c r="T159" s="74"/>
      <c r="U159" s="74"/>
      <c r="V159" s="75"/>
      <c r="Y159" s="74"/>
      <c r="AJ159" s="17"/>
      <c r="AL159" s="17"/>
      <c r="AM159" s="17"/>
      <c r="AP159" s="17"/>
    </row>
    <row r="160" spans="20:42" x14ac:dyDescent="0.2">
      <c r="T160" s="74"/>
      <c r="U160" s="74"/>
      <c r="V160" s="75"/>
      <c r="Y160" s="74"/>
      <c r="AJ160" s="17"/>
      <c r="AL160" s="17"/>
      <c r="AM160" s="17"/>
      <c r="AP160" s="17"/>
    </row>
    <row r="161" spans="20:42" x14ac:dyDescent="0.2">
      <c r="T161" s="74"/>
      <c r="U161" s="74"/>
      <c r="V161" s="75"/>
      <c r="Y161" s="74"/>
      <c r="AJ161" s="17"/>
      <c r="AL161" s="17"/>
      <c r="AM161" s="17"/>
      <c r="AP161" s="17"/>
    </row>
    <row r="162" spans="20:42" x14ac:dyDescent="0.2">
      <c r="T162" s="74"/>
      <c r="U162" s="74"/>
      <c r="V162" s="75"/>
      <c r="Y162" s="74"/>
      <c r="AJ162" s="17"/>
      <c r="AL162" s="17"/>
      <c r="AM162" s="17"/>
      <c r="AP162" s="17"/>
    </row>
    <row r="163" spans="20:42" x14ac:dyDescent="0.2">
      <c r="T163" s="74"/>
      <c r="U163" s="74"/>
      <c r="V163" s="75"/>
      <c r="Y163" s="74"/>
      <c r="AJ163" s="17"/>
      <c r="AL163" s="17"/>
      <c r="AM163" s="17"/>
      <c r="AP163" s="17"/>
    </row>
    <row r="164" spans="20:42" x14ac:dyDescent="0.2">
      <c r="T164" s="74"/>
      <c r="U164" s="74"/>
      <c r="V164" s="75"/>
      <c r="Y164" s="74"/>
      <c r="AJ164" s="17"/>
      <c r="AL164" s="17"/>
      <c r="AM164" s="17"/>
      <c r="AP164" s="17"/>
    </row>
    <row r="165" spans="20:42" x14ac:dyDescent="0.2">
      <c r="T165" s="74"/>
      <c r="U165" s="74"/>
      <c r="V165" s="75"/>
      <c r="Y165" s="74"/>
      <c r="AJ165" s="17"/>
      <c r="AL165" s="17"/>
      <c r="AM165" s="17"/>
      <c r="AP165" s="17"/>
    </row>
    <row r="166" spans="20:42" x14ac:dyDescent="0.2">
      <c r="T166" s="74"/>
      <c r="U166" s="74"/>
      <c r="V166" s="75"/>
      <c r="Y166" s="74"/>
      <c r="AJ166" s="17"/>
      <c r="AL166" s="17"/>
      <c r="AM166" s="17"/>
      <c r="AP166" s="17"/>
    </row>
    <row r="167" spans="20:42" x14ac:dyDescent="0.2">
      <c r="T167" s="74"/>
      <c r="U167" s="74"/>
      <c r="V167" s="75"/>
      <c r="Y167" s="74"/>
      <c r="AJ167" s="17"/>
      <c r="AL167" s="17"/>
      <c r="AM167" s="17"/>
      <c r="AP167" s="17"/>
    </row>
    <row r="168" spans="20:42" x14ac:dyDescent="0.2">
      <c r="T168" s="74"/>
      <c r="U168" s="74"/>
      <c r="V168" s="75"/>
      <c r="Y168" s="74"/>
      <c r="AJ168" s="17"/>
      <c r="AL168" s="17"/>
      <c r="AM168" s="17"/>
      <c r="AP168" s="17"/>
    </row>
    <row r="169" spans="20:42" x14ac:dyDescent="0.2">
      <c r="T169" s="74"/>
      <c r="U169" s="74"/>
      <c r="V169" s="75"/>
      <c r="Y169" s="74"/>
      <c r="AJ169" s="17"/>
      <c r="AL169" s="17"/>
      <c r="AM169" s="17"/>
      <c r="AP169" s="17"/>
    </row>
    <row r="170" spans="20:42" x14ac:dyDescent="0.2">
      <c r="T170" s="74"/>
      <c r="U170" s="74"/>
      <c r="V170" s="75"/>
      <c r="Y170" s="74"/>
      <c r="AJ170" s="17"/>
      <c r="AL170" s="17"/>
      <c r="AM170" s="17"/>
      <c r="AP170" s="17"/>
    </row>
    <row r="171" spans="20:42" x14ac:dyDescent="0.2">
      <c r="T171" s="74"/>
      <c r="U171" s="74"/>
      <c r="V171" s="75"/>
      <c r="Y171" s="74"/>
      <c r="AJ171" s="17"/>
      <c r="AL171" s="17"/>
      <c r="AM171" s="17"/>
      <c r="AP171" s="17"/>
    </row>
    <row r="172" spans="20:42" x14ac:dyDescent="0.2">
      <c r="T172" s="74"/>
      <c r="U172" s="74"/>
      <c r="V172" s="75"/>
      <c r="Y172" s="74"/>
      <c r="AJ172" s="17"/>
      <c r="AL172" s="17"/>
      <c r="AM172" s="17"/>
      <c r="AP172" s="17"/>
    </row>
    <row r="173" spans="20:42" x14ac:dyDescent="0.2">
      <c r="T173" s="74"/>
      <c r="U173" s="74"/>
      <c r="V173" s="75"/>
      <c r="Y173" s="74"/>
      <c r="AJ173" s="17"/>
      <c r="AL173" s="17"/>
      <c r="AM173" s="17"/>
      <c r="AP173" s="17"/>
    </row>
    <row r="174" spans="20:42" x14ac:dyDescent="0.2">
      <c r="T174" s="74"/>
      <c r="U174" s="74"/>
      <c r="V174" s="75"/>
      <c r="Y174" s="74"/>
      <c r="AJ174" s="17"/>
      <c r="AL174" s="17"/>
      <c r="AM174" s="17"/>
      <c r="AP174" s="17"/>
    </row>
    <row r="175" spans="20:42" x14ac:dyDescent="0.2">
      <c r="T175" s="74"/>
      <c r="U175" s="74"/>
      <c r="V175" s="75"/>
      <c r="Y175" s="74"/>
      <c r="AJ175" s="17"/>
      <c r="AL175" s="17"/>
      <c r="AM175" s="17"/>
      <c r="AP175" s="17"/>
    </row>
    <row r="176" spans="20:42" x14ac:dyDescent="0.2">
      <c r="T176" s="74"/>
      <c r="U176" s="74"/>
      <c r="V176" s="75"/>
      <c r="Y176" s="74"/>
      <c r="AJ176" s="17"/>
      <c r="AL176" s="17"/>
      <c r="AM176" s="17"/>
      <c r="AP176" s="17"/>
    </row>
    <row r="177" spans="20:42" x14ac:dyDescent="0.2">
      <c r="T177" s="74"/>
      <c r="U177" s="74"/>
      <c r="V177" s="75"/>
      <c r="Y177" s="74"/>
      <c r="AJ177" s="17"/>
      <c r="AL177" s="17"/>
      <c r="AM177" s="17"/>
      <c r="AP177" s="17"/>
    </row>
    <row r="178" spans="20:42" x14ac:dyDescent="0.2">
      <c r="T178" s="74"/>
      <c r="U178" s="74"/>
      <c r="V178" s="75"/>
      <c r="Y178" s="74"/>
      <c r="AJ178" s="17"/>
      <c r="AL178" s="17"/>
      <c r="AM178" s="17"/>
      <c r="AP178" s="17"/>
    </row>
    <row r="179" spans="20:42" x14ac:dyDescent="0.2">
      <c r="T179" s="74"/>
      <c r="U179" s="74"/>
      <c r="V179" s="75"/>
      <c r="Y179" s="74"/>
      <c r="AJ179" s="17"/>
      <c r="AL179" s="17"/>
      <c r="AM179" s="17"/>
      <c r="AP179" s="17"/>
    </row>
    <row r="180" spans="20:42" x14ac:dyDescent="0.2">
      <c r="T180" s="74"/>
      <c r="U180" s="74"/>
      <c r="V180" s="75"/>
      <c r="Y180" s="74"/>
      <c r="AJ180" s="17"/>
      <c r="AL180" s="17"/>
      <c r="AM180" s="17"/>
      <c r="AP180" s="17"/>
    </row>
    <row r="181" spans="20:42" x14ac:dyDescent="0.2">
      <c r="T181" s="74"/>
      <c r="U181" s="74"/>
      <c r="V181" s="75"/>
      <c r="Y181" s="74"/>
      <c r="AJ181" s="17"/>
      <c r="AL181" s="17"/>
      <c r="AM181" s="17"/>
      <c r="AP181" s="17"/>
    </row>
    <row r="182" spans="20:42" x14ac:dyDescent="0.2">
      <c r="T182" s="74"/>
      <c r="U182" s="74"/>
      <c r="V182" s="75"/>
      <c r="Y182" s="74"/>
      <c r="AJ182" s="17"/>
      <c r="AL182" s="17"/>
      <c r="AM182" s="17"/>
      <c r="AP182" s="17"/>
    </row>
    <row r="183" spans="20:42" x14ac:dyDescent="0.2">
      <c r="T183" s="74"/>
      <c r="U183" s="74"/>
      <c r="V183" s="75"/>
      <c r="Y183" s="74"/>
      <c r="AJ183" s="17"/>
      <c r="AL183" s="17"/>
      <c r="AM183" s="17"/>
      <c r="AP183" s="17"/>
    </row>
    <row r="184" spans="20:42" x14ac:dyDescent="0.2">
      <c r="T184" s="74"/>
      <c r="U184" s="74"/>
      <c r="V184" s="75"/>
      <c r="Y184" s="74"/>
      <c r="AJ184" s="17"/>
      <c r="AL184" s="17"/>
      <c r="AM184" s="17"/>
      <c r="AP184" s="17"/>
    </row>
    <row r="185" spans="20:42" x14ac:dyDescent="0.2">
      <c r="T185" s="74"/>
      <c r="U185" s="74"/>
      <c r="V185" s="75"/>
      <c r="Y185" s="74"/>
      <c r="AJ185" s="17"/>
      <c r="AL185" s="17"/>
      <c r="AM185" s="17"/>
      <c r="AP185" s="17"/>
    </row>
    <row r="186" spans="20:42" x14ac:dyDescent="0.2">
      <c r="T186" s="74"/>
      <c r="U186" s="74"/>
      <c r="V186" s="75"/>
      <c r="Y186" s="74"/>
      <c r="AJ186" s="17"/>
      <c r="AL186" s="17"/>
      <c r="AM186" s="17"/>
      <c r="AP186" s="17"/>
    </row>
    <row r="187" spans="20:42" x14ac:dyDescent="0.2">
      <c r="T187" s="74"/>
      <c r="U187" s="74"/>
      <c r="V187" s="75"/>
      <c r="Y187" s="74"/>
      <c r="AJ187" s="17"/>
      <c r="AL187" s="17"/>
      <c r="AM187" s="17"/>
      <c r="AP187" s="17"/>
    </row>
    <row r="188" spans="20:42" x14ac:dyDescent="0.2">
      <c r="T188" s="74"/>
      <c r="U188" s="74"/>
      <c r="V188" s="75"/>
      <c r="Y188" s="74"/>
      <c r="AJ188" s="17"/>
      <c r="AL188" s="17"/>
      <c r="AM188" s="17"/>
      <c r="AP188" s="17"/>
    </row>
    <row r="189" spans="20:42" x14ac:dyDescent="0.2">
      <c r="T189" s="74"/>
      <c r="U189" s="74"/>
      <c r="V189" s="75"/>
      <c r="Y189" s="74"/>
      <c r="AJ189" s="17"/>
      <c r="AL189" s="17"/>
      <c r="AM189" s="17"/>
      <c r="AP189" s="17"/>
    </row>
    <row r="190" spans="20:42" x14ac:dyDescent="0.2">
      <c r="T190" s="74"/>
      <c r="U190" s="74"/>
      <c r="V190" s="75"/>
      <c r="Y190" s="74"/>
      <c r="AJ190" s="17"/>
      <c r="AL190" s="17"/>
      <c r="AM190" s="17"/>
      <c r="AP190" s="17"/>
    </row>
    <row r="191" spans="20:42" x14ac:dyDescent="0.2">
      <c r="T191" s="74"/>
      <c r="U191" s="74"/>
      <c r="V191" s="75"/>
      <c r="Y191" s="74"/>
      <c r="AJ191" s="17"/>
      <c r="AL191" s="17"/>
      <c r="AM191" s="17"/>
      <c r="AP191" s="17"/>
    </row>
    <row r="192" spans="20:42" x14ac:dyDescent="0.2">
      <c r="T192" s="74"/>
      <c r="U192" s="74"/>
      <c r="V192" s="75"/>
      <c r="Y192" s="74"/>
      <c r="AJ192" s="17"/>
      <c r="AL192" s="17"/>
      <c r="AM192" s="17"/>
      <c r="AP192" s="17"/>
    </row>
    <row r="193" spans="20:42" x14ac:dyDescent="0.2">
      <c r="T193" s="74"/>
      <c r="U193" s="74"/>
      <c r="V193" s="75"/>
      <c r="Y193" s="74"/>
      <c r="AJ193" s="17"/>
      <c r="AL193" s="17"/>
      <c r="AM193" s="17"/>
      <c r="AP193" s="17"/>
    </row>
    <row r="194" spans="20:42" x14ac:dyDescent="0.2">
      <c r="T194" s="74"/>
      <c r="U194" s="74"/>
      <c r="V194" s="75"/>
      <c r="Y194" s="74"/>
      <c r="AJ194" s="17"/>
      <c r="AL194" s="17"/>
      <c r="AM194" s="17"/>
      <c r="AP194" s="17"/>
    </row>
    <row r="195" spans="20:42" x14ac:dyDescent="0.2">
      <c r="T195" s="74"/>
      <c r="U195" s="74"/>
      <c r="V195" s="75"/>
      <c r="Y195" s="74"/>
      <c r="AJ195" s="17"/>
      <c r="AL195" s="17"/>
      <c r="AM195" s="17"/>
      <c r="AP195" s="17"/>
    </row>
    <row r="196" spans="20:42" x14ac:dyDescent="0.2">
      <c r="T196" s="74"/>
      <c r="U196" s="74"/>
      <c r="V196" s="75"/>
      <c r="Y196" s="74"/>
      <c r="AJ196" s="17"/>
      <c r="AL196" s="17"/>
      <c r="AM196" s="17"/>
      <c r="AP196" s="17"/>
    </row>
    <row r="197" spans="20:42" x14ac:dyDescent="0.2">
      <c r="T197" s="74"/>
      <c r="U197" s="74"/>
      <c r="V197" s="75"/>
      <c r="Y197" s="74"/>
      <c r="AJ197" s="17"/>
      <c r="AL197" s="17"/>
      <c r="AM197" s="17"/>
      <c r="AP197" s="17"/>
    </row>
    <row r="198" spans="20:42" x14ac:dyDescent="0.2">
      <c r="T198" s="74"/>
      <c r="U198" s="74"/>
      <c r="V198" s="75"/>
      <c r="Y198" s="74"/>
      <c r="AJ198" s="17"/>
      <c r="AL198" s="17"/>
      <c r="AM198" s="17"/>
      <c r="AP198" s="17"/>
    </row>
    <row r="199" spans="20:42" x14ac:dyDescent="0.2">
      <c r="T199" s="74"/>
      <c r="U199" s="74"/>
      <c r="V199" s="75"/>
      <c r="Y199" s="74"/>
      <c r="AJ199" s="17"/>
      <c r="AL199" s="17"/>
      <c r="AM199" s="17"/>
      <c r="AP199" s="17"/>
    </row>
    <row r="200" spans="20:42" x14ac:dyDescent="0.2">
      <c r="T200" s="74"/>
      <c r="U200" s="74"/>
      <c r="V200" s="75"/>
      <c r="Y200" s="74"/>
      <c r="AJ200" s="17"/>
      <c r="AL200" s="17"/>
      <c r="AM200" s="17"/>
      <c r="AP200" s="17"/>
    </row>
    <row r="201" spans="20:42" x14ac:dyDescent="0.2">
      <c r="T201" s="74"/>
      <c r="U201" s="74"/>
      <c r="V201" s="75"/>
      <c r="Y201" s="74"/>
      <c r="AJ201" s="17"/>
      <c r="AL201" s="17"/>
      <c r="AM201" s="17"/>
      <c r="AP201" s="17"/>
    </row>
    <row r="202" spans="20:42" x14ac:dyDescent="0.2">
      <c r="T202" s="74"/>
      <c r="U202" s="74"/>
      <c r="V202" s="75"/>
      <c r="Y202" s="74"/>
      <c r="AJ202" s="17"/>
      <c r="AL202" s="17"/>
      <c r="AM202" s="17"/>
      <c r="AP202" s="17"/>
    </row>
    <row r="203" spans="20:42" x14ac:dyDescent="0.2">
      <c r="T203" s="74"/>
      <c r="U203" s="74"/>
      <c r="V203" s="75"/>
      <c r="Y203" s="74"/>
      <c r="AJ203" s="17"/>
      <c r="AL203" s="17"/>
      <c r="AM203" s="17"/>
      <c r="AP203" s="17"/>
    </row>
    <row r="204" spans="20:42" x14ac:dyDescent="0.2">
      <c r="T204" s="74"/>
      <c r="U204" s="74"/>
      <c r="V204" s="75"/>
      <c r="Y204" s="74"/>
      <c r="AJ204" s="17"/>
      <c r="AL204" s="17"/>
      <c r="AM204" s="17"/>
      <c r="AP204" s="17"/>
    </row>
    <row r="205" spans="20:42" x14ac:dyDescent="0.2">
      <c r="T205" s="74"/>
      <c r="U205" s="74"/>
      <c r="V205" s="75"/>
      <c r="Y205" s="74"/>
      <c r="AJ205" s="17"/>
      <c r="AL205" s="17"/>
      <c r="AM205" s="17"/>
      <c r="AP205" s="17"/>
    </row>
    <row r="206" spans="20:42" x14ac:dyDescent="0.2">
      <c r="T206" s="74"/>
      <c r="U206" s="74"/>
      <c r="V206" s="75"/>
      <c r="Y206" s="74"/>
      <c r="AJ206" s="17"/>
      <c r="AL206" s="17"/>
      <c r="AM206" s="17"/>
      <c r="AP206" s="17"/>
    </row>
    <row r="207" spans="20:42" x14ac:dyDescent="0.2">
      <c r="T207" s="74"/>
      <c r="U207" s="74"/>
      <c r="V207" s="75"/>
      <c r="Y207" s="74"/>
      <c r="AJ207" s="17"/>
      <c r="AL207" s="17"/>
      <c r="AM207" s="17"/>
      <c r="AP207" s="17"/>
    </row>
    <row r="208" spans="20:42" x14ac:dyDescent="0.2">
      <c r="T208" s="74"/>
      <c r="U208" s="74"/>
      <c r="V208" s="75"/>
      <c r="Y208" s="74"/>
      <c r="AJ208" s="17"/>
      <c r="AL208" s="17"/>
      <c r="AM208" s="17"/>
      <c r="AP208" s="17"/>
    </row>
    <row r="209" spans="20:42" x14ac:dyDescent="0.2">
      <c r="T209" s="74"/>
      <c r="U209" s="74"/>
      <c r="V209" s="75"/>
      <c r="Y209" s="74"/>
      <c r="AJ209" s="17"/>
      <c r="AL209" s="17"/>
      <c r="AM209" s="17"/>
      <c r="AP209" s="17"/>
    </row>
    <row r="210" spans="20:42" x14ac:dyDescent="0.2">
      <c r="T210" s="74"/>
      <c r="U210" s="74"/>
      <c r="V210" s="75"/>
      <c r="Y210" s="74"/>
      <c r="AJ210" s="17"/>
      <c r="AL210" s="17"/>
      <c r="AM210" s="17"/>
      <c r="AP210" s="17"/>
    </row>
    <row r="211" spans="20:42" x14ac:dyDescent="0.2">
      <c r="T211" s="74"/>
      <c r="U211" s="74"/>
      <c r="V211" s="75"/>
      <c r="Y211" s="74"/>
      <c r="AJ211" s="17"/>
      <c r="AL211" s="17"/>
      <c r="AM211" s="17"/>
      <c r="AP211" s="17"/>
    </row>
    <row r="212" spans="20:42" x14ac:dyDescent="0.2">
      <c r="T212" s="74"/>
      <c r="U212" s="74"/>
      <c r="V212" s="75"/>
      <c r="Y212" s="74"/>
      <c r="AJ212" s="17"/>
      <c r="AL212" s="17"/>
      <c r="AM212" s="17"/>
      <c r="AP212" s="17"/>
    </row>
    <row r="213" spans="20:42" x14ac:dyDescent="0.2">
      <c r="T213" s="74"/>
      <c r="U213" s="74"/>
      <c r="V213" s="75"/>
      <c r="Y213" s="74"/>
      <c r="AJ213" s="17"/>
      <c r="AL213" s="17"/>
      <c r="AM213" s="17"/>
      <c r="AP213" s="17"/>
    </row>
    <row r="214" spans="20:42" x14ac:dyDescent="0.2">
      <c r="T214" s="74"/>
      <c r="U214" s="74"/>
      <c r="V214" s="75"/>
      <c r="Y214" s="74"/>
      <c r="AJ214" s="17"/>
      <c r="AL214" s="17"/>
      <c r="AM214" s="17"/>
      <c r="AP214" s="17"/>
    </row>
    <row r="215" spans="20:42" x14ac:dyDescent="0.2">
      <c r="T215" s="74"/>
      <c r="U215" s="74"/>
      <c r="V215" s="75"/>
      <c r="Y215" s="74"/>
      <c r="AJ215" s="17"/>
      <c r="AL215" s="17"/>
      <c r="AM215" s="17"/>
      <c r="AP215" s="17"/>
    </row>
    <row r="216" spans="20:42" x14ac:dyDescent="0.2">
      <c r="T216" s="74"/>
      <c r="U216" s="74"/>
      <c r="V216" s="75"/>
      <c r="Y216" s="74"/>
      <c r="AJ216" s="17"/>
      <c r="AL216" s="17"/>
      <c r="AM216" s="17"/>
      <c r="AP216" s="17"/>
    </row>
    <row r="217" spans="20:42" x14ac:dyDescent="0.2">
      <c r="T217" s="74"/>
      <c r="U217" s="74"/>
      <c r="V217" s="75"/>
      <c r="Y217" s="74"/>
      <c r="AJ217" s="17"/>
      <c r="AL217" s="17"/>
      <c r="AM217" s="17"/>
      <c r="AP217" s="17"/>
    </row>
    <row r="218" spans="20:42" x14ac:dyDescent="0.2">
      <c r="T218" s="74"/>
      <c r="U218" s="74"/>
      <c r="V218" s="75"/>
      <c r="Y218" s="74"/>
      <c r="AJ218" s="17"/>
      <c r="AL218" s="17"/>
      <c r="AM218" s="17"/>
      <c r="AP218" s="17"/>
    </row>
    <row r="219" spans="20:42" x14ac:dyDescent="0.2">
      <c r="T219" s="74"/>
      <c r="U219" s="74"/>
      <c r="V219" s="75"/>
      <c r="Y219" s="74"/>
      <c r="AJ219" s="17"/>
      <c r="AL219" s="17"/>
      <c r="AM219" s="17"/>
      <c r="AP219" s="17"/>
    </row>
    <row r="220" spans="20:42" x14ac:dyDescent="0.2">
      <c r="T220" s="74"/>
      <c r="U220" s="74"/>
      <c r="V220" s="75"/>
      <c r="Y220" s="74"/>
      <c r="AJ220" s="17"/>
      <c r="AL220" s="17"/>
      <c r="AM220" s="17"/>
      <c r="AP220" s="17"/>
    </row>
    <row r="221" spans="20:42" x14ac:dyDescent="0.2">
      <c r="T221" s="74"/>
      <c r="U221" s="74"/>
      <c r="V221" s="75"/>
      <c r="Y221" s="74"/>
      <c r="AJ221" s="17"/>
      <c r="AL221" s="17"/>
      <c r="AM221" s="17"/>
      <c r="AP221" s="17"/>
    </row>
  </sheetData>
  <dataValidations count="1">
    <dataValidation type="list" allowBlank="1" showInputMessage="1" showErrorMessage="1" sqref="AL1:AM1048576" xr:uid="{394ECE82-4657-44C1-A052-7A4FF681648C}">
      <formula1>"Annually, Quarterly, Monthly, Semi-Annually"</formula1>
    </dataValidation>
  </dataValidations>
  <hyperlinks>
    <hyperlink ref="V2" r:id="rId1" xr:uid="{62CC3C92-49FF-4E77-8BB6-12EA2BBF229E}"/>
    <hyperlink ref="V3" r:id="rId2" xr:uid="{40D9CF13-AC1F-4E78-BA00-4C15BB6F097E}"/>
    <hyperlink ref="V4" r:id="rId3" xr:uid="{39BEF3EC-D627-4404-87E9-960D66EC498A}"/>
    <hyperlink ref="V5" r:id="rId4" xr:uid="{3DA96215-92A9-4EBB-95A3-F18E1EC4D1CE}"/>
    <hyperlink ref="V6" r:id="rId5" xr:uid="{3A0755CE-DCBA-4058-A9CA-563F9BC784FB}"/>
    <hyperlink ref="V7" r:id="rId6" xr:uid="{62BE909E-1D04-453A-88CB-D9747AB59F99}"/>
    <hyperlink ref="V8" r:id="rId7" xr:uid="{C0DE35F5-1A34-4D89-995F-92DD0B4C50D6}"/>
    <hyperlink ref="V9" r:id="rId8" xr:uid="{66B9C139-AF24-4CE0-8726-9238F2719EFD}"/>
    <hyperlink ref="V10" r:id="rId9" xr:uid="{8AB251D3-A09C-43B9-B2A6-EABBEFFF914E}"/>
    <hyperlink ref="V11" r:id="rId10" xr:uid="{36BCD217-D2AF-4A49-A3D2-D248AE367CD1}"/>
    <hyperlink ref="V12" r:id="rId11" xr:uid="{A9AF0AF0-8200-4567-B796-1CC1A6132A3D}"/>
    <hyperlink ref="V13" r:id="rId12" xr:uid="{70CEDED5-64A7-4044-B250-49525439BDF4}"/>
  </hyperlinks>
  <pageMargins left="0.7" right="0.7" top="0.75" bottom="0.75" header="0.3" footer="0.3"/>
  <pageSetup orientation="portrait" r:id="rId13"/>
  <legacyDrawing r:id="rId1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A3E9C-9063-45FE-84DE-A6A7ACFE9A08}">
  <sheetPr codeName="Sheet7">
    <tabColor rgb="FFFF0000"/>
    <pageSetUpPr fitToPage="1"/>
  </sheetPr>
  <dimension ref="A1:H50"/>
  <sheetViews>
    <sheetView topLeftCell="A37" workbookViewId="0">
      <selection activeCell="B46" sqref="B46:G48"/>
    </sheetView>
  </sheetViews>
  <sheetFormatPr defaultColWidth="0" defaultRowHeight="12.75" customHeight="1" zeroHeight="1" x14ac:dyDescent="0.2"/>
  <cols>
    <col min="1" max="1" width="4.28515625" style="2" customWidth="1"/>
    <col min="2" max="2" width="10.5703125" style="2" customWidth="1"/>
    <col min="3" max="3" width="10.28515625" style="2" customWidth="1"/>
    <col min="4" max="4" width="22.7109375" style="2" customWidth="1"/>
    <col min="5" max="5" width="4.28515625" style="2" customWidth="1"/>
    <col min="6" max="6" width="24.42578125" style="2" customWidth="1"/>
    <col min="7" max="7" width="26.42578125" style="2" customWidth="1"/>
    <col min="8" max="8" width="9.140625" style="2" customWidth="1"/>
    <col min="9" max="16384" width="9.140625" style="2" hidden="1"/>
  </cols>
  <sheetData>
    <row r="1" spans="2:7" ht="15.75" x14ac:dyDescent="0.25">
      <c r="B1" s="143"/>
      <c r="C1" s="143"/>
      <c r="D1" s="143"/>
      <c r="F1" s="144" t="s">
        <v>44</v>
      </c>
      <c r="G1" s="144"/>
    </row>
    <row r="2" spans="2:7" x14ac:dyDescent="0.2">
      <c r="B2" s="106"/>
      <c r="C2" s="106"/>
      <c r="D2" s="106"/>
      <c r="F2" s="145"/>
      <c r="G2" s="146"/>
    </row>
    <row r="3" spans="2:7" ht="12.75" customHeight="1" x14ac:dyDescent="0.2">
      <c r="B3" s="106"/>
      <c r="C3" s="106"/>
      <c r="D3" s="106"/>
      <c r="F3" s="16" t="s">
        <v>43</v>
      </c>
      <c r="G3" s="18"/>
    </row>
    <row r="4" spans="2:7" ht="12.75" customHeight="1" x14ac:dyDescent="0.2">
      <c r="B4" s="106"/>
      <c r="C4" s="106"/>
      <c r="D4" s="106"/>
    </row>
    <row r="5" spans="2:7" x14ac:dyDescent="0.2"/>
    <row r="6" spans="2:7" x14ac:dyDescent="0.2"/>
    <row r="7" spans="2:7" ht="15" x14ac:dyDescent="0.25">
      <c r="B7" s="147" t="s">
        <v>45</v>
      </c>
      <c r="C7" s="148"/>
      <c r="D7" s="148"/>
      <c r="E7" s="149"/>
    </row>
    <row r="8" spans="2:7" ht="15" x14ac:dyDescent="0.25">
      <c r="B8" s="150" t="s">
        <v>46</v>
      </c>
      <c r="C8" s="151"/>
      <c r="D8" s="151"/>
      <c r="E8" s="152"/>
    </row>
    <row r="9" spans="2:7" ht="7.5" customHeight="1" x14ac:dyDescent="0.2"/>
    <row r="10" spans="2:7" x14ac:dyDescent="0.2">
      <c r="B10" s="153"/>
      <c r="C10" s="154"/>
      <c r="D10" s="155"/>
      <c r="F10" s="156" t="s">
        <v>47</v>
      </c>
      <c r="G10" s="157"/>
    </row>
    <row r="11" spans="2:7" ht="13.15" customHeight="1" x14ac:dyDescent="0.2">
      <c r="B11" s="158"/>
      <c r="C11" s="159"/>
      <c r="D11" s="160"/>
      <c r="F11" s="6" t="s">
        <v>48</v>
      </c>
      <c r="G11" s="6" t="s">
        <v>49</v>
      </c>
    </row>
    <row r="12" spans="2:7" ht="26.25" customHeight="1" x14ac:dyDescent="0.2">
      <c r="B12" s="161"/>
      <c r="C12" s="162"/>
      <c r="D12" s="163"/>
      <c r="F12" s="15"/>
      <c r="G12" s="15"/>
    </row>
    <row r="13" spans="2:7" ht="24" customHeight="1" x14ac:dyDescent="0.2">
      <c r="B13" s="161"/>
      <c r="C13" s="162"/>
      <c r="D13" s="163"/>
      <c r="F13" s="15"/>
      <c r="G13" s="15"/>
    </row>
    <row r="14" spans="2:7" ht="22.5" customHeight="1" x14ac:dyDescent="0.2">
      <c r="B14" s="164"/>
      <c r="C14" s="165"/>
      <c r="D14" s="166"/>
      <c r="F14" s="15"/>
      <c r="G14" s="15"/>
    </row>
    <row r="15" spans="2:7" ht="22.5" customHeight="1" x14ac:dyDescent="0.2">
      <c r="B15" s="167" t="s">
        <v>9</v>
      </c>
      <c r="C15" s="168"/>
      <c r="D15" s="59"/>
      <c r="F15" s="15"/>
      <c r="G15" s="15"/>
    </row>
    <row r="16" spans="2:7" ht="22.5" customHeight="1" x14ac:dyDescent="0.2">
      <c r="B16" s="169" t="s">
        <v>164</v>
      </c>
      <c r="C16" s="119"/>
      <c r="D16" s="120"/>
      <c r="F16" s="15"/>
      <c r="G16" s="15"/>
    </row>
    <row r="17" spans="2:7" ht="23.25" customHeight="1" x14ac:dyDescent="0.2">
      <c r="B17" s="167" t="s">
        <v>50</v>
      </c>
      <c r="C17" s="168"/>
      <c r="D17" s="60"/>
      <c r="F17" s="8" t="s">
        <v>51</v>
      </c>
      <c r="G17" s="9" t="s">
        <v>52</v>
      </c>
    </row>
    <row r="18" spans="2:7" ht="18" customHeight="1" x14ac:dyDescent="0.2">
      <c r="B18" s="114" t="s">
        <v>53</v>
      </c>
      <c r="C18" s="114"/>
      <c r="D18" s="114"/>
      <c r="E18" s="114"/>
      <c r="F18" s="116" t="s">
        <v>54</v>
      </c>
      <c r="G18" s="117"/>
    </row>
    <row r="19" spans="2:7" ht="15" customHeight="1" x14ac:dyDescent="0.2">
      <c r="B19" s="114" t="s">
        <v>55</v>
      </c>
      <c r="C19" s="115"/>
      <c r="D19" s="115"/>
      <c r="E19" s="115"/>
      <c r="F19" s="116"/>
      <c r="G19" s="117"/>
    </row>
    <row r="20" spans="2:7" x14ac:dyDescent="0.2"/>
    <row r="21" spans="2:7" x14ac:dyDescent="0.2">
      <c r="B21" s="118" t="s">
        <v>56</v>
      </c>
      <c r="C21" s="119"/>
      <c r="D21" s="119"/>
      <c r="E21" s="120"/>
      <c r="F21" s="121" t="s">
        <v>57</v>
      </c>
      <c r="G21" s="120"/>
    </row>
    <row r="22" spans="2:7" x14ac:dyDescent="0.2"/>
    <row r="23" spans="2:7" x14ac:dyDescent="0.2">
      <c r="B23" s="122" t="s">
        <v>58</v>
      </c>
      <c r="C23" s="122"/>
      <c r="D23" s="122"/>
      <c r="E23" s="5" t="s">
        <v>59</v>
      </c>
      <c r="F23" s="5" t="s">
        <v>60</v>
      </c>
      <c r="G23" s="5" t="s">
        <v>61</v>
      </c>
    </row>
    <row r="24" spans="2:7" x14ac:dyDescent="0.2">
      <c r="B24" s="123" t="s">
        <v>62</v>
      </c>
      <c r="C24" s="124"/>
      <c r="D24" s="19"/>
      <c r="E24" s="4"/>
      <c r="F24" s="14"/>
      <c r="G24" s="14">
        <f>F24*E24</f>
        <v>0</v>
      </c>
    </row>
    <row r="25" spans="2:7" x14ac:dyDescent="0.2">
      <c r="B25" s="10" t="s">
        <v>63</v>
      </c>
      <c r="C25" s="11"/>
      <c r="D25" s="7"/>
      <c r="E25" s="4"/>
      <c r="F25" s="4"/>
      <c r="G25" s="4"/>
    </row>
    <row r="26" spans="2:7" x14ac:dyDescent="0.2">
      <c r="B26" s="125"/>
      <c r="C26" s="126"/>
      <c r="D26" s="127"/>
      <c r="E26" s="4"/>
      <c r="F26" s="4"/>
      <c r="G26" s="4"/>
    </row>
    <row r="27" spans="2:7" ht="12.75" customHeight="1" x14ac:dyDescent="0.2">
      <c r="B27" s="128"/>
      <c r="C27" s="129"/>
      <c r="D27" s="130"/>
      <c r="E27" s="4"/>
      <c r="F27" s="4"/>
      <c r="G27" s="4"/>
    </row>
    <row r="28" spans="2:7" x14ac:dyDescent="0.2">
      <c r="B28" s="131"/>
      <c r="C28" s="132"/>
      <c r="D28" s="133"/>
      <c r="E28" s="4"/>
      <c r="F28" s="4"/>
      <c r="G28" s="4"/>
    </row>
    <row r="29" spans="2:7" x14ac:dyDescent="0.2">
      <c r="B29" s="10"/>
      <c r="C29" s="11"/>
      <c r="D29" s="7"/>
      <c r="E29" s="4"/>
      <c r="F29" s="4"/>
      <c r="G29" s="4"/>
    </row>
    <row r="30" spans="2:7" x14ac:dyDescent="0.2">
      <c r="B30" s="10" t="s">
        <v>64</v>
      </c>
      <c r="C30" s="11"/>
      <c r="D30" s="7"/>
      <c r="E30" s="4"/>
      <c r="F30" s="4"/>
      <c r="G30" s="4"/>
    </row>
    <row r="31" spans="2:7" x14ac:dyDescent="0.2">
      <c r="B31" s="134" t="s">
        <v>65</v>
      </c>
      <c r="C31" s="135"/>
      <c r="D31" s="136"/>
      <c r="E31" s="12"/>
      <c r="F31" s="12"/>
      <c r="G31" s="12"/>
    </row>
    <row r="32" spans="2:7" ht="12.75" customHeight="1" x14ac:dyDescent="0.2">
      <c r="B32" s="137"/>
      <c r="C32" s="138"/>
      <c r="D32" s="139"/>
      <c r="E32" s="113" t="s">
        <v>66</v>
      </c>
      <c r="F32" s="113"/>
      <c r="G32" s="14">
        <f>G24</f>
        <v>0</v>
      </c>
    </row>
    <row r="33" spans="2:7" x14ac:dyDescent="0.2">
      <c r="B33" s="140"/>
      <c r="C33" s="141"/>
      <c r="D33" s="142"/>
      <c r="E33" s="113"/>
      <c r="F33" s="113"/>
      <c r="G33" s="4"/>
    </row>
    <row r="34" spans="2:7" x14ac:dyDescent="0.2">
      <c r="B34" s="110" t="s">
        <v>67</v>
      </c>
      <c r="C34" s="111"/>
      <c r="D34" s="112"/>
      <c r="E34" s="113" t="s">
        <v>68</v>
      </c>
      <c r="F34" s="113"/>
      <c r="G34" s="4">
        <v>0</v>
      </c>
    </row>
    <row r="35" spans="2:7" x14ac:dyDescent="0.2">
      <c r="B35" s="83" t="s">
        <v>69</v>
      </c>
      <c r="C35" s="84"/>
      <c r="D35" s="85"/>
      <c r="E35" s="86" t="s">
        <v>70</v>
      </c>
      <c r="F35" s="86"/>
      <c r="G35" s="14">
        <f>G32</f>
        <v>0</v>
      </c>
    </row>
    <row r="36" spans="2:7" x14ac:dyDescent="0.2"/>
    <row r="37" spans="2:7" ht="15.75" x14ac:dyDescent="0.25">
      <c r="B37" s="87" t="s">
        <v>82</v>
      </c>
      <c r="C37" s="88"/>
      <c r="D37" s="88"/>
      <c r="E37" s="89"/>
      <c r="F37" s="61"/>
    </row>
    <row r="38" spans="2:7" ht="13.15" customHeight="1" x14ac:dyDescent="0.2">
      <c r="B38" s="90"/>
      <c r="C38" s="91"/>
      <c r="D38" s="91"/>
      <c r="E38" s="92"/>
      <c r="F38" s="93" t="s">
        <v>83</v>
      </c>
      <c r="G38" s="94"/>
    </row>
    <row r="39" spans="2:7" x14ac:dyDescent="0.2">
      <c r="B39" s="99" t="s">
        <v>84</v>
      </c>
      <c r="C39" s="100"/>
      <c r="D39" s="100"/>
      <c r="E39" s="101"/>
      <c r="F39" s="95"/>
      <c r="G39" s="96"/>
    </row>
    <row r="40" spans="2:7" x14ac:dyDescent="0.2">
      <c r="B40" s="102" t="s">
        <v>85</v>
      </c>
      <c r="C40" s="103"/>
      <c r="D40" s="103"/>
      <c r="E40" s="104"/>
      <c r="F40" s="97"/>
      <c r="G40" s="98"/>
    </row>
    <row r="41" spans="2:7" ht="31.5" customHeight="1" x14ac:dyDescent="0.2">
      <c r="B41" s="99" t="s">
        <v>86</v>
      </c>
      <c r="C41" s="100"/>
      <c r="D41" s="100"/>
      <c r="E41" s="101"/>
    </row>
    <row r="42" spans="2:7" ht="29.25" customHeight="1" x14ac:dyDescent="0.2">
      <c r="B42" s="90"/>
      <c r="C42" s="91"/>
      <c r="D42" s="91"/>
      <c r="E42" s="92"/>
      <c r="F42" s="105"/>
      <c r="G42" s="106"/>
    </row>
    <row r="43" spans="2:7" ht="23.25" customHeight="1" x14ac:dyDescent="0.2">
      <c r="B43" s="107" t="s">
        <v>71</v>
      </c>
      <c r="C43" s="108"/>
      <c r="D43" s="109"/>
      <c r="E43" s="13"/>
      <c r="F43" s="106"/>
      <c r="G43" s="106"/>
    </row>
    <row r="44" spans="2:7" x14ac:dyDescent="0.2"/>
    <row r="45" spans="2:7" ht="26.25" customHeight="1" x14ac:dyDescent="0.2"/>
    <row r="46" spans="2:7" ht="13.15" customHeight="1" x14ac:dyDescent="0.2">
      <c r="B46" s="82"/>
      <c r="C46" s="82"/>
      <c r="D46" s="82"/>
      <c r="E46" s="82"/>
      <c r="F46" s="82"/>
      <c r="G46" s="82"/>
    </row>
    <row r="47" spans="2:7" x14ac:dyDescent="0.2">
      <c r="B47" s="82"/>
      <c r="C47" s="82"/>
      <c r="D47" s="82"/>
      <c r="E47" s="82"/>
      <c r="F47" s="82"/>
      <c r="G47" s="82"/>
    </row>
    <row r="48" spans="2:7" x14ac:dyDescent="0.2">
      <c r="B48" s="82"/>
      <c r="C48" s="82"/>
      <c r="D48" s="82"/>
      <c r="E48" s="82"/>
      <c r="F48" s="82"/>
      <c r="G48" s="82"/>
    </row>
    <row r="49" x14ac:dyDescent="0.2"/>
    <row r="50" hidden="1" x14ac:dyDescent="0.2"/>
  </sheetData>
  <mergeCells count="39">
    <mergeCell ref="F18:G18"/>
    <mergeCell ref="B1:D4"/>
    <mergeCell ref="F1:G1"/>
    <mergeCell ref="F2:G2"/>
    <mergeCell ref="B7:E7"/>
    <mergeCell ref="B8:E8"/>
    <mergeCell ref="B10:D10"/>
    <mergeCell ref="F10:G10"/>
    <mergeCell ref="B11:D14"/>
    <mergeCell ref="B15:C15"/>
    <mergeCell ref="B16:D16"/>
    <mergeCell ref="B17:C17"/>
    <mergeCell ref="B18:E18"/>
    <mergeCell ref="B34:D34"/>
    <mergeCell ref="E34:F34"/>
    <mergeCell ref="B19:E19"/>
    <mergeCell ref="F19:G19"/>
    <mergeCell ref="B21:E21"/>
    <mergeCell ref="F21:G21"/>
    <mergeCell ref="B23:D23"/>
    <mergeCell ref="B24:C24"/>
    <mergeCell ref="B26:D28"/>
    <mergeCell ref="B31:D31"/>
    <mergeCell ref="B32:D33"/>
    <mergeCell ref="E32:F32"/>
    <mergeCell ref="E33:F33"/>
    <mergeCell ref="B46:G48"/>
    <mergeCell ref="B35:D35"/>
    <mergeCell ref="E35:F35"/>
    <mergeCell ref="B37:E37"/>
    <mergeCell ref="B38:E38"/>
    <mergeCell ref="F38:G40"/>
    <mergeCell ref="B39:E39"/>
    <mergeCell ref="B40:E40"/>
    <mergeCell ref="B41:E41"/>
    <mergeCell ref="B42:E42"/>
    <mergeCell ref="F42:G42"/>
    <mergeCell ref="B43:D43"/>
    <mergeCell ref="F43:G43"/>
  </mergeCells>
  <pageMargins left="0" right="0" top="0.5" bottom="0.25" header="0.5" footer="0.5"/>
  <pageSetup orientation="portrait" r:id="rId1"/>
  <headerFooter alignWithMargins="0">
    <oddFooter>&amp;L&amp;N&amp;R&amp;A 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6B7D9-FAC8-468F-A4F2-338D84E83F5D}">
  <sheetPr codeName="Sheet6">
    <tabColor rgb="FFFF0000"/>
    <pageSetUpPr fitToPage="1"/>
  </sheetPr>
  <dimension ref="A1:CM78"/>
  <sheetViews>
    <sheetView topLeftCell="A54" zoomScaleNormal="100" workbookViewId="0">
      <selection activeCell="J59" sqref="J59"/>
    </sheetView>
  </sheetViews>
  <sheetFormatPr defaultColWidth="9.140625" defaultRowHeight="12.75" customHeight="1" zeroHeight="1" x14ac:dyDescent="0.2"/>
  <cols>
    <col min="1" max="1" width="15.5703125" style="13" customWidth="1"/>
    <col min="2" max="3" width="12.7109375" style="53" customWidth="1"/>
    <col min="4" max="4" width="4" style="53" customWidth="1"/>
    <col min="5" max="5" width="12.140625" style="53" customWidth="1"/>
    <col min="6" max="6" width="16.42578125" style="53" customWidth="1"/>
    <col min="7" max="7" width="22.85546875" style="53" customWidth="1"/>
    <col min="8" max="8" width="10.5703125" style="53" customWidth="1"/>
    <col min="9" max="9" width="17.28515625" style="55" customWidth="1"/>
    <col min="10" max="10" width="8.5703125" style="53" bestFit="1" customWidth="1"/>
    <col min="11" max="11" width="11.7109375" style="53" customWidth="1"/>
    <col min="12" max="12" width="8.7109375" style="53" bestFit="1" customWidth="1"/>
    <col min="13" max="15" width="9.140625" style="53" customWidth="1"/>
    <col min="16" max="17" width="9.140625" style="53" hidden="1" customWidth="1"/>
    <col min="18" max="19" width="0" style="53" hidden="1" customWidth="1"/>
    <col min="20" max="20" width="9.140625" style="53" hidden="1" customWidth="1"/>
    <col min="21" max="16384" width="9.140625" style="53"/>
  </cols>
  <sheetData>
    <row r="1" spans="1:91" s="2" customFormat="1" ht="12.75" customHeight="1" x14ac:dyDescent="0.2">
      <c r="A1" s="13"/>
      <c r="B1" s="13"/>
      <c r="C1" s="13"/>
      <c r="D1" s="13"/>
      <c r="E1" s="13"/>
      <c r="F1" s="13"/>
      <c r="G1" s="13"/>
      <c r="H1" s="226"/>
      <c r="I1" s="226"/>
      <c r="J1" s="226"/>
      <c r="K1" s="226"/>
      <c r="L1" s="226"/>
      <c r="M1" s="13"/>
      <c r="N1" s="53"/>
      <c r="O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</row>
    <row r="2" spans="1:91" s="2" customFormat="1" x14ac:dyDescent="0.2">
      <c r="A2" s="13"/>
      <c r="B2" s="13"/>
      <c r="C2" s="13"/>
      <c r="D2" s="13"/>
      <c r="E2" s="13"/>
      <c r="F2" s="13"/>
      <c r="G2" s="13"/>
      <c r="H2" s="226"/>
      <c r="I2" s="226"/>
      <c r="J2" s="226"/>
      <c r="K2" s="226"/>
      <c r="L2" s="226"/>
      <c r="M2" s="13"/>
      <c r="N2" s="53"/>
      <c r="O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</row>
    <row r="3" spans="1:91" s="2" customFormat="1" ht="12.75" customHeight="1" x14ac:dyDescent="0.2">
      <c r="A3" s="13"/>
      <c r="B3" s="13"/>
      <c r="C3" s="13"/>
      <c r="D3" s="13"/>
      <c r="E3" s="13"/>
      <c r="F3" s="13"/>
      <c r="G3" s="13"/>
      <c r="H3" s="226"/>
      <c r="I3" s="226"/>
      <c r="J3" s="226"/>
      <c r="K3" s="226"/>
      <c r="L3" s="226"/>
      <c r="M3" s="13"/>
      <c r="N3" s="53"/>
      <c r="O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53"/>
      <c r="CF3" s="53"/>
      <c r="CG3" s="53"/>
      <c r="CH3" s="53"/>
      <c r="CI3" s="53"/>
      <c r="CJ3" s="53"/>
      <c r="CK3" s="53"/>
      <c r="CL3" s="53"/>
      <c r="CM3" s="53"/>
    </row>
    <row r="4" spans="1:91" s="2" customFormat="1" ht="12.75" customHeight="1" x14ac:dyDescent="0.2">
      <c r="A4" s="13"/>
      <c r="B4" s="13"/>
      <c r="C4" s="13"/>
      <c r="D4" s="13"/>
      <c r="E4" s="13"/>
      <c r="F4" s="13"/>
      <c r="G4" s="13"/>
      <c r="H4" s="227"/>
      <c r="I4" s="227"/>
      <c r="J4" s="227"/>
      <c r="K4" s="227"/>
      <c r="L4" s="227"/>
      <c r="M4" s="13"/>
      <c r="N4" s="53"/>
      <c r="O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</row>
    <row r="5" spans="1:91" s="2" customFormat="1" ht="12.75" customHeight="1" x14ac:dyDescent="0.2">
      <c r="A5" s="13"/>
      <c r="B5" s="13"/>
      <c r="C5" s="13"/>
      <c r="D5" s="13"/>
      <c r="E5" s="13"/>
      <c r="F5" s="13"/>
      <c r="G5" s="13"/>
      <c r="H5" s="227"/>
      <c r="I5" s="227"/>
      <c r="J5" s="227"/>
      <c r="K5" s="227"/>
      <c r="L5" s="227"/>
      <c r="M5" s="13"/>
      <c r="N5" s="53"/>
      <c r="O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</row>
    <row r="6" spans="1:91" s="2" customFormat="1" ht="12.75" customHeight="1" x14ac:dyDescent="0.2">
      <c r="A6" s="13"/>
      <c r="B6" s="13"/>
      <c r="C6" s="13"/>
      <c r="D6" s="13"/>
      <c r="E6" s="13"/>
      <c r="F6" s="13"/>
      <c r="G6" s="13"/>
      <c r="H6" s="227"/>
      <c r="I6" s="227"/>
      <c r="J6" s="227"/>
      <c r="K6" s="227"/>
      <c r="L6" s="227"/>
      <c r="M6" s="13"/>
      <c r="N6" s="53"/>
      <c r="O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3"/>
      <c r="CJ6" s="53"/>
      <c r="CK6" s="53"/>
      <c r="CL6" s="53"/>
      <c r="CM6" s="53"/>
    </row>
    <row r="7" spans="1:91" s="2" customFormat="1" ht="17.25" customHeight="1" x14ac:dyDescent="0.3">
      <c r="A7" s="13"/>
      <c r="B7" s="21" t="s">
        <v>0</v>
      </c>
      <c r="C7" s="13"/>
      <c r="D7" s="13"/>
      <c r="E7" s="13"/>
      <c r="F7" s="13"/>
      <c r="G7" s="13"/>
      <c r="H7" s="227"/>
      <c r="I7" s="227"/>
      <c r="J7" s="227"/>
      <c r="K7" s="227"/>
      <c r="L7" s="227"/>
      <c r="M7" s="13"/>
      <c r="N7" s="53"/>
      <c r="O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3"/>
      <c r="CJ7" s="53"/>
      <c r="CK7" s="53"/>
      <c r="CL7" s="53"/>
      <c r="CM7" s="53"/>
    </row>
    <row r="8" spans="1:91" s="3" customFormat="1" ht="15" customHeight="1" x14ac:dyDescent="0.2">
      <c r="A8" s="24"/>
      <c r="B8" s="24" t="s">
        <v>1</v>
      </c>
      <c r="C8" s="24"/>
      <c r="D8" s="24"/>
      <c r="E8" s="24"/>
      <c r="F8" s="24"/>
      <c r="G8" s="24"/>
      <c r="H8" s="24" t="s">
        <v>2</v>
      </c>
      <c r="I8" s="25"/>
      <c r="J8" s="24"/>
      <c r="K8" s="24"/>
      <c r="L8" s="24"/>
      <c r="M8" s="24"/>
      <c r="N8" s="54"/>
      <c r="O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</row>
    <row r="9" spans="1:91" s="2" customFormat="1" ht="36.75" customHeight="1" x14ac:dyDescent="0.2">
      <c r="A9" s="13"/>
      <c r="B9" s="26" t="s">
        <v>3</v>
      </c>
      <c r="C9" s="228"/>
      <c r="D9" s="229"/>
      <c r="E9" s="229"/>
      <c r="F9" s="230"/>
      <c r="G9" s="13"/>
      <c r="H9" s="26" t="s">
        <v>3</v>
      </c>
      <c r="I9" s="228"/>
      <c r="J9" s="229"/>
      <c r="K9" s="229"/>
      <c r="L9" s="230"/>
      <c r="M9" s="13"/>
      <c r="N9" s="53"/>
      <c r="O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3"/>
      <c r="CJ9" s="53"/>
      <c r="CK9" s="53"/>
      <c r="CL9" s="53"/>
      <c r="CM9" s="53"/>
    </row>
    <row r="10" spans="1:91" s="2" customFormat="1" ht="18.75" customHeight="1" x14ac:dyDescent="0.2">
      <c r="A10" s="13"/>
      <c r="B10" s="26" t="s">
        <v>4</v>
      </c>
      <c r="C10" s="172"/>
      <c r="D10" s="224"/>
      <c r="E10" s="224"/>
      <c r="F10" s="173"/>
      <c r="G10" s="13"/>
      <c r="H10" s="26" t="s">
        <v>4</v>
      </c>
      <c r="I10" s="225"/>
      <c r="J10" s="225"/>
      <c r="K10" s="225"/>
      <c r="L10" s="225"/>
      <c r="M10" s="13"/>
      <c r="N10" s="53"/>
      <c r="O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</row>
    <row r="11" spans="1:91" s="2" customFormat="1" ht="19.5" customHeight="1" x14ac:dyDescent="0.2">
      <c r="A11" s="13"/>
      <c r="B11" s="26" t="s">
        <v>5</v>
      </c>
      <c r="C11" s="172"/>
      <c r="D11" s="224"/>
      <c r="E11" s="224"/>
      <c r="F11" s="173"/>
      <c r="G11" s="13"/>
      <c r="H11" s="26" t="s">
        <v>5</v>
      </c>
      <c r="I11" s="225"/>
      <c r="J11" s="225"/>
      <c r="K11" s="225"/>
      <c r="L11" s="225"/>
      <c r="M11" s="13"/>
      <c r="N11" s="53"/>
      <c r="O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3"/>
      <c r="CJ11" s="53"/>
      <c r="CK11" s="53"/>
      <c r="CL11" s="53"/>
      <c r="CM11" s="53"/>
    </row>
    <row r="12" spans="1:91" s="2" customFormat="1" ht="19.5" customHeight="1" x14ac:dyDescent="0.2">
      <c r="A12" s="13"/>
      <c r="B12" s="26" t="s">
        <v>6</v>
      </c>
      <c r="C12" s="172"/>
      <c r="D12" s="173"/>
      <c r="E12" s="27" t="s">
        <v>7</v>
      </c>
      <c r="F12" s="28"/>
      <c r="G12" s="13"/>
      <c r="H12" s="26" t="s">
        <v>8</v>
      </c>
      <c r="I12" s="29"/>
      <c r="J12" s="27" t="s">
        <v>7</v>
      </c>
      <c r="K12" s="225"/>
      <c r="L12" s="225"/>
      <c r="M12" s="13"/>
      <c r="N12" s="53"/>
      <c r="O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</row>
    <row r="13" spans="1:91" s="2" customFormat="1" ht="19.5" customHeight="1" x14ac:dyDescent="0.2">
      <c r="A13" s="13"/>
      <c r="B13" s="26" t="s">
        <v>9</v>
      </c>
      <c r="C13" s="172"/>
      <c r="D13" s="224"/>
      <c r="E13" s="224"/>
      <c r="F13" s="173"/>
      <c r="G13" s="13"/>
      <c r="H13" s="26" t="s">
        <v>9</v>
      </c>
      <c r="I13" s="225"/>
      <c r="J13" s="225"/>
      <c r="K13" s="225"/>
      <c r="L13" s="225"/>
      <c r="M13" s="13"/>
      <c r="N13" s="53"/>
      <c r="O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3"/>
      <c r="CJ13" s="53"/>
      <c r="CK13" s="53"/>
      <c r="CL13" s="53"/>
      <c r="CM13" s="53"/>
    </row>
    <row r="14" spans="1:91" s="2" customFormat="1" ht="19.5" customHeight="1" x14ac:dyDescent="0.2">
      <c r="A14" s="13"/>
      <c r="B14" s="26" t="s">
        <v>10</v>
      </c>
      <c r="C14" s="172"/>
      <c r="D14" s="224"/>
      <c r="E14" s="224"/>
      <c r="F14" s="173"/>
      <c r="G14" s="13"/>
      <c r="H14" s="26" t="s">
        <v>10</v>
      </c>
      <c r="I14" s="225"/>
      <c r="J14" s="225"/>
      <c r="K14" s="225"/>
      <c r="L14" s="225"/>
      <c r="M14" s="13"/>
      <c r="N14" s="53"/>
      <c r="O14" s="53"/>
      <c r="R14" s="1" t="s">
        <v>11</v>
      </c>
      <c r="S14" s="1" t="s">
        <v>12</v>
      </c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</row>
    <row r="15" spans="1:91" s="2" customFormat="1" ht="19.5" customHeight="1" x14ac:dyDescent="0.2">
      <c r="A15" s="13"/>
      <c r="B15" s="26" t="s">
        <v>13</v>
      </c>
      <c r="C15" s="172"/>
      <c r="D15" s="224"/>
      <c r="E15" s="224"/>
      <c r="F15" s="173"/>
      <c r="G15" s="13"/>
      <c r="H15" s="26" t="s">
        <v>14</v>
      </c>
      <c r="I15" s="225"/>
      <c r="J15" s="225"/>
      <c r="K15" s="225"/>
      <c r="L15" s="225"/>
      <c r="M15" s="13"/>
      <c r="N15" s="53"/>
      <c r="O15" s="53"/>
      <c r="R15" s="2" t="b">
        <f>IF(F19="Monthly",12,IF(F19="Quarterly",4,IF(F19="Semi Annually",2,IF(F19="Annually",1))))</f>
        <v>0</v>
      </c>
      <c r="S15" s="2">
        <f>IF(H19="Monthly",12,IF(H19="Quarterly",4,IF(H19="Semi Annually",2,IF(H19="Annually",1))))</f>
        <v>12</v>
      </c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3"/>
      <c r="CJ15" s="53"/>
      <c r="CK15" s="53"/>
      <c r="CL15" s="53"/>
      <c r="CM15" s="53"/>
    </row>
    <row r="16" spans="1:91" s="2" customFormat="1" ht="15.75" customHeight="1" x14ac:dyDescent="0.2">
      <c r="A16" s="13"/>
      <c r="B16" s="26" t="s">
        <v>15</v>
      </c>
      <c r="C16" s="172"/>
      <c r="D16" s="224"/>
      <c r="E16" s="224"/>
      <c r="F16" s="173"/>
      <c r="G16" s="13"/>
      <c r="H16" s="26" t="s">
        <v>16</v>
      </c>
      <c r="I16" s="225"/>
      <c r="J16" s="225"/>
      <c r="K16" s="225"/>
      <c r="L16" s="225"/>
      <c r="M16" s="13"/>
      <c r="N16" s="53"/>
      <c r="O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</row>
    <row r="17" spans="1:91" s="2" customFormat="1" ht="10.5" customHeight="1" x14ac:dyDescent="0.2">
      <c r="A17" s="13"/>
      <c r="B17" s="212" t="s">
        <v>17</v>
      </c>
      <c r="C17" s="215"/>
      <c r="D17" s="218" t="s">
        <v>18</v>
      </c>
      <c r="E17" s="221"/>
      <c r="F17" s="208" t="s">
        <v>19</v>
      </c>
      <c r="G17" s="210" t="s">
        <v>157</v>
      </c>
      <c r="H17" s="208" t="s">
        <v>20</v>
      </c>
      <c r="I17" s="192" t="s">
        <v>21</v>
      </c>
      <c r="J17" s="195"/>
      <c r="K17" s="196"/>
      <c r="L17" s="197"/>
      <c r="M17" s="13"/>
      <c r="N17" s="53"/>
      <c r="O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3"/>
      <c r="CJ17" s="53"/>
      <c r="CK17" s="53"/>
      <c r="CL17" s="53"/>
      <c r="CM17" s="53"/>
    </row>
    <row r="18" spans="1:91" s="2" customFormat="1" ht="5.25" customHeight="1" x14ac:dyDescent="0.2">
      <c r="A18" s="13"/>
      <c r="B18" s="213"/>
      <c r="C18" s="216"/>
      <c r="D18" s="219"/>
      <c r="E18" s="222"/>
      <c r="F18" s="209"/>
      <c r="G18" s="211"/>
      <c r="H18" s="209"/>
      <c r="I18" s="193"/>
      <c r="J18" s="198"/>
      <c r="K18" s="199"/>
      <c r="L18" s="200"/>
      <c r="M18" s="13"/>
      <c r="N18" s="53"/>
      <c r="O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</row>
    <row r="19" spans="1:91" s="2" customFormat="1" ht="13.5" customHeight="1" x14ac:dyDescent="0.2">
      <c r="A19" s="13"/>
      <c r="B19" s="214"/>
      <c r="C19" s="217"/>
      <c r="D19" s="220"/>
      <c r="E19" s="223"/>
      <c r="F19" s="30"/>
      <c r="G19" s="80"/>
      <c r="H19" s="30" t="s">
        <v>80</v>
      </c>
      <c r="I19" s="194"/>
      <c r="J19" s="201"/>
      <c r="K19" s="202"/>
      <c r="L19" s="203"/>
      <c r="M19" s="13"/>
      <c r="N19" s="53"/>
      <c r="O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3"/>
      <c r="CJ19" s="53"/>
      <c r="CK19" s="53"/>
      <c r="CL19" s="53"/>
      <c r="CM19" s="53"/>
    </row>
    <row r="20" spans="1:91" s="2" customFormat="1" ht="7.5" customHeight="1" x14ac:dyDescent="0.2">
      <c r="A20" s="13"/>
      <c r="B20" s="22"/>
      <c r="C20" s="13"/>
      <c r="D20" s="31"/>
      <c r="E20" s="23"/>
      <c r="F20" s="23"/>
      <c r="G20" s="13"/>
      <c r="H20" s="22"/>
      <c r="I20" s="20"/>
      <c r="J20" s="23"/>
      <c r="K20" s="13"/>
      <c r="L20" s="23"/>
      <c r="M20" s="13"/>
      <c r="N20" s="53"/>
      <c r="O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</row>
    <row r="21" spans="1:91" s="2" customFormat="1" ht="41.25" customHeight="1" x14ac:dyDescent="0.2">
      <c r="A21" s="13"/>
      <c r="B21" s="32" t="s">
        <v>22</v>
      </c>
      <c r="C21" s="32" t="s">
        <v>23</v>
      </c>
      <c r="D21" s="204" t="s">
        <v>24</v>
      </c>
      <c r="E21" s="205"/>
      <c r="F21" s="32" t="s">
        <v>25</v>
      </c>
      <c r="G21" s="206" t="str">
        <f>CONCATENATE(IF(F19="","", F19)," "," MA Base")</f>
        <v xml:space="preserve">  MA Base</v>
      </c>
      <c r="H21" s="207"/>
      <c r="I21" s="33" t="str">
        <f>CONCATENATE(IF(F19="","", F19)," "," Rental Base")</f>
        <v xml:space="preserve">  Rental Base</v>
      </c>
      <c r="J21" s="34" t="s">
        <v>156</v>
      </c>
      <c r="K21" s="35" t="str">
        <f>CONCATENATE(IF(H19="","", H19)," ","Allowance")</f>
        <v>Monthly Allowance</v>
      </c>
      <c r="L21" s="34" t="s">
        <v>26</v>
      </c>
      <c r="M21" s="13"/>
      <c r="N21" s="53"/>
      <c r="O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3"/>
      <c r="CJ21" s="53"/>
      <c r="CK21" s="53"/>
      <c r="CL21" s="53"/>
      <c r="CM21" s="53"/>
    </row>
    <row r="22" spans="1:91" s="2" customFormat="1" ht="17.100000000000001" customHeight="1" x14ac:dyDescent="0.2">
      <c r="A22" s="13"/>
      <c r="B22" s="36"/>
      <c r="C22" s="37"/>
      <c r="D22" s="172"/>
      <c r="E22" s="173"/>
      <c r="F22" s="38"/>
      <c r="G22" s="174"/>
      <c r="H22" s="175"/>
      <c r="I22" s="39"/>
      <c r="J22" s="40"/>
      <c r="K22" s="41"/>
      <c r="L22" s="42"/>
      <c r="M22" s="13"/>
      <c r="N22" s="53"/>
      <c r="O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</row>
    <row r="23" spans="1:91" s="2" customFormat="1" ht="17.100000000000001" customHeight="1" x14ac:dyDescent="0.2">
      <c r="A23" s="13"/>
      <c r="B23" s="36"/>
      <c r="C23" s="37"/>
      <c r="D23" s="172"/>
      <c r="E23" s="173"/>
      <c r="F23" s="38"/>
      <c r="G23" s="174"/>
      <c r="H23" s="175"/>
      <c r="I23" s="39"/>
      <c r="J23" s="40"/>
      <c r="K23" s="41"/>
      <c r="L23" s="42"/>
      <c r="M23" s="13"/>
      <c r="N23" s="53"/>
      <c r="O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3"/>
      <c r="CJ23" s="53"/>
      <c r="CK23" s="53"/>
      <c r="CL23" s="53"/>
      <c r="CM23" s="53"/>
    </row>
    <row r="24" spans="1:91" s="2" customFormat="1" ht="17.100000000000001" customHeight="1" x14ac:dyDescent="0.2">
      <c r="A24" s="13"/>
      <c r="B24" s="36"/>
      <c r="C24" s="37"/>
      <c r="D24" s="172"/>
      <c r="E24" s="173"/>
      <c r="F24" s="38"/>
      <c r="G24" s="174"/>
      <c r="H24" s="175"/>
      <c r="I24" s="39"/>
      <c r="J24" s="40"/>
      <c r="K24" s="41"/>
      <c r="L24" s="42"/>
      <c r="M24" s="13"/>
      <c r="N24" s="53"/>
      <c r="O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</row>
    <row r="25" spans="1:91" s="2" customFormat="1" ht="17.100000000000001" customHeight="1" x14ac:dyDescent="0.2">
      <c r="A25" s="13"/>
      <c r="B25" s="36"/>
      <c r="C25" s="37"/>
      <c r="D25" s="172"/>
      <c r="E25" s="173"/>
      <c r="F25" s="38"/>
      <c r="G25" s="174"/>
      <c r="H25" s="175"/>
      <c r="I25" s="39"/>
      <c r="J25" s="40"/>
      <c r="K25" s="41"/>
      <c r="L25" s="42"/>
      <c r="M25" s="13"/>
      <c r="N25" s="53"/>
      <c r="O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3"/>
      <c r="CJ25" s="53"/>
      <c r="CK25" s="53"/>
      <c r="CL25" s="53"/>
      <c r="CM25" s="53"/>
    </row>
    <row r="26" spans="1:91" s="2" customFormat="1" ht="17.100000000000001" customHeight="1" x14ac:dyDescent="0.2">
      <c r="A26" s="13"/>
      <c r="B26" s="36"/>
      <c r="C26" s="37"/>
      <c r="D26" s="172"/>
      <c r="E26" s="173"/>
      <c r="F26" s="38"/>
      <c r="G26" s="174"/>
      <c r="H26" s="175"/>
      <c r="I26" s="39"/>
      <c r="J26" s="40"/>
      <c r="K26" s="41"/>
      <c r="L26" s="42"/>
      <c r="M26" s="13"/>
      <c r="N26" s="53"/>
      <c r="O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3"/>
      <c r="CJ26" s="53"/>
      <c r="CK26" s="53"/>
      <c r="CL26" s="53"/>
      <c r="CM26" s="53"/>
    </row>
    <row r="27" spans="1:91" s="2" customFormat="1" ht="17.100000000000001" customHeight="1" x14ac:dyDescent="0.2">
      <c r="A27" s="13"/>
      <c r="B27" s="36"/>
      <c r="C27" s="37"/>
      <c r="D27" s="172"/>
      <c r="E27" s="173"/>
      <c r="F27" s="38"/>
      <c r="G27" s="174"/>
      <c r="H27" s="175"/>
      <c r="I27" s="39"/>
      <c r="J27" s="40"/>
      <c r="K27" s="41"/>
      <c r="L27" s="42"/>
      <c r="M27" s="13"/>
      <c r="N27" s="53"/>
      <c r="O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3"/>
      <c r="CJ27" s="53"/>
      <c r="CK27" s="53"/>
      <c r="CL27" s="53"/>
      <c r="CM27" s="53"/>
    </row>
    <row r="28" spans="1:91" s="2" customFormat="1" ht="17.100000000000001" customHeight="1" x14ac:dyDescent="0.2">
      <c r="A28" s="13"/>
      <c r="B28" s="36"/>
      <c r="C28" s="37"/>
      <c r="D28" s="172"/>
      <c r="E28" s="173"/>
      <c r="F28" s="38"/>
      <c r="G28" s="174"/>
      <c r="H28" s="175"/>
      <c r="I28" s="39"/>
      <c r="J28" s="40"/>
      <c r="K28" s="41"/>
      <c r="L28" s="42"/>
      <c r="M28" s="13"/>
      <c r="N28" s="53"/>
      <c r="O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3"/>
      <c r="CJ28" s="53"/>
      <c r="CK28" s="53"/>
      <c r="CL28" s="53"/>
      <c r="CM28" s="53"/>
    </row>
    <row r="29" spans="1:91" s="2" customFormat="1" ht="17.100000000000001" customHeight="1" x14ac:dyDescent="0.2">
      <c r="A29" s="13"/>
      <c r="B29" s="36"/>
      <c r="C29" s="37"/>
      <c r="D29" s="172"/>
      <c r="E29" s="173"/>
      <c r="F29" s="38"/>
      <c r="G29" s="174"/>
      <c r="H29" s="175"/>
      <c r="I29" s="39"/>
      <c r="J29" s="40"/>
      <c r="K29" s="41"/>
      <c r="L29" s="42"/>
      <c r="M29" s="13"/>
      <c r="N29" s="53"/>
      <c r="O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3"/>
      <c r="CJ29" s="53"/>
      <c r="CK29" s="53"/>
      <c r="CL29" s="53"/>
      <c r="CM29" s="53"/>
    </row>
    <row r="30" spans="1:91" s="2" customFormat="1" ht="17.100000000000001" customHeight="1" x14ac:dyDescent="0.2">
      <c r="A30" s="13"/>
      <c r="B30" s="36"/>
      <c r="C30" s="37"/>
      <c r="D30" s="172"/>
      <c r="E30" s="173"/>
      <c r="F30" s="38"/>
      <c r="G30" s="174"/>
      <c r="H30" s="175"/>
      <c r="I30" s="39"/>
      <c r="J30" s="40"/>
      <c r="K30" s="41"/>
      <c r="L30" s="42"/>
      <c r="M30" s="13"/>
      <c r="N30" s="53"/>
      <c r="O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  <c r="CA30" s="53"/>
      <c r="CB30" s="53"/>
      <c r="CC30" s="53"/>
      <c r="CD30" s="53"/>
      <c r="CE30" s="53"/>
      <c r="CF30" s="53"/>
      <c r="CG30" s="53"/>
      <c r="CH30" s="53"/>
      <c r="CI30" s="53"/>
      <c r="CJ30" s="53"/>
      <c r="CK30" s="53"/>
      <c r="CL30" s="53"/>
      <c r="CM30" s="53"/>
    </row>
    <row r="31" spans="1:91" s="2" customFormat="1" ht="17.100000000000001" customHeight="1" x14ac:dyDescent="0.2">
      <c r="A31" s="13"/>
      <c r="B31" s="36"/>
      <c r="C31" s="37"/>
      <c r="D31" s="172"/>
      <c r="E31" s="173"/>
      <c r="F31" s="38"/>
      <c r="G31" s="174"/>
      <c r="H31" s="175"/>
      <c r="I31" s="39"/>
      <c r="J31" s="40"/>
      <c r="K31" s="41"/>
      <c r="L31" s="42"/>
      <c r="M31" s="13"/>
      <c r="N31" s="53"/>
      <c r="O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  <c r="CA31" s="53"/>
      <c r="CB31" s="53"/>
      <c r="CC31" s="53"/>
      <c r="CD31" s="53"/>
      <c r="CE31" s="53"/>
      <c r="CF31" s="53"/>
      <c r="CG31" s="53"/>
      <c r="CH31" s="53"/>
      <c r="CI31" s="53"/>
      <c r="CJ31" s="53"/>
      <c r="CK31" s="53"/>
      <c r="CL31" s="53"/>
      <c r="CM31" s="53"/>
    </row>
    <row r="32" spans="1:91" s="2" customFormat="1" ht="17.100000000000001" customHeight="1" x14ac:dyDescent="0.2">
      <c r="A32" s="13"/>
      <c r="B32" s="36"/>
      <c r="C32" s="37"/>
      <c r="D32" s="172"/>
      <c r="E32" s="173"/>
      <c r="F32" s="38"/>
      <c r="G32" s="174"/>
      <c r="H32" s="175"/>
      <c r="I32" s="39"/>
      <c r="J32" s="40"/>
      <c r="K32" s="41"/>
      <c r="L32" s="42"/>
      <c r="M32" s="13"/>
      <c r="N32" s="53"/>
      <c r="O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53"/>
      <c r="CE32" s="53"/>
      <c r="CF32" s="53"/>
      <c r="CG32" s="53"/>
      <c r="CH32" s="53"/>
      <c r="CI32" s="53"/>
      <c r="CJ32" s="53"/>
      <c r="CK32" s="53"/>
      <c r="CL32" s="53"/>
      <c r="CM32" s="53"/>
    </row>
    <row r="33" spans="1:91" s="2" customFormat="1" ht="17.100000000000001" customHeight="1" x14ac:dyDescent="0.2">
      <c r="A33" s="13"/>
      <c r="B33" s="36"/>
      <c r="C33" s="37"/>
      <c r="D33" s="172"/>
      <c r="E33" s="173"/>
      <c r="F33" s="38"/>
      <c r="G33" s="174"/>
      <c r="H33" s="175"/>
      <c r="I33" s="39"/>
      <c r="J33" s="40"/>
      <c r="K33" s="41"/>
      <c r="L33" s="42"/>
      <c r="M33" s="13"/>
      <c r="N33" s="53"/>
      <c r="O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53"/>
      <c r="CE33" s="53"/>
      <c r="CF33" s="53"/>
      <c r="CG33" s="53"/>
      <c r="CH33" s="53"/>
      <c r="CI33" s="53"/>
      <c r="CJ33" s="53"/>
      <c r="CK33" s="53"/>
      <c r="CL33" s="53"/>
      <c r="CM33" s="53"/>
    </row>
    <row r="34" spans="1:91" s="2" customFormat="1" ht="17.100000000000001" customHeight="1" x14ac:dyDescent="0.2">
      <c r="A34" s="13"/>
      <c r="B34" s="36"/>
      <c r="C34" s="37"/>
      <c r="D34" s="172"/>
      <c r="E34" s="173"/>
      <c r="F34" s="38"/>
      <c r="G34" s="174"/>
      <c r="H34" s="175"/>
      <c r="I34" s="39"/>
      <c r="J34" s="40"/>
      <c r="K34" s="41"/>
      <c r="L34" s="42"/>
      <c r="M34" s="13"/>
      <c r="N34" s="53"/>
      <c r="O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</row>
    <row r="35" spans="1:91" s="2" customFormat="1" ht="17.100000000000001" customHeight="1" x14ac:dyDescent="0.2">
      <c r="A35" s="13"/>
      <c r="B35" s="36"/>
      <c r="C35" s="37"/>
      <c r="D35" s="172"/>
      <c r="E35" s="173"/>
      <c r="F35" s="38"/>
      <c r="G35" s="174"/>
      <c r="H35" s="175"/>
      <c r="I35" s="39"/>
      <c r="J35" s="40"/>
      <c r="K35" s="41"/>
      <c r="L35" s="42"/>
      <c r="M35" s="13"/>
      <c r="N35" s="53"/>
      <c r="O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</row>
    <row r="36" spans="1:91" s="2" customFormat="1" ht="17.100000000000001" customHeight="1" x14ac:dyDescent="0.2">
      <c r="A36" s="13"/>
      <c r="B36" s="36"/>
      <c r="C36" s="37"/>
      <c r="D36" s="172"/>
      <c r="E36" s="173"/>
      <c r="F36" s="38"/>
      <c r="G36" s="174"/>
      <c r="H36" s="175"/>
      <c r="I36" s="39"/>
      <c r="J36" s="40"/>
      <c r="K36" s="41"/>
      <c r="L36" s="42"/>
      <c r="M36" s="13"/>
      <c r="N36" s="53"/>
      <c r="O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</row>
    <row r="37" spans="1:91" s="2" customFormat="1" ht="17.100000000000001" customHeight="1" x14ac:dyDescent="0.2">
      <c r="A37" s="13"/>
      <c r="B37" s="36"/>
      <c r="C37" s="37"/>
      <c r="D37" s="172"/>
      <c r="E37" s="173"/>
      <c r="F37" s="38"/>
      <c r="G37" s="174"/>
      <c r="H37" s="175"/>
      <c r="I37" s="39"/>
      <c r="J37" s="40"/>
      <c r="K37" s="41"/>
      <c r="L37" s="42"/>
      <c r="M37" s="13"/>
      <c r="N37" s="53"/>
      <c r="O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3"/>
      <c r="BS37" s="53"/>
      <c r="BT37" s="53"/>
      <c r="BU37" s="53"/>
      <c r="BV37" s="53"/>
      <c r="BW37" s="53"/>
      <c r="BX37" s="53"/>
      <c r="BY37" s="53"/>
      <c r="BZ37" s="53"/>
      <c r="CA37" s="53"/>
      <c r="CB37" s="53"/>
      <c r="CC37" s="53"/>
      <c r="CD37" s="53"/>
      <c r="CE37" s="53"/>
      <c r="CF37" s="53"/>
      <c r="CG37" s="53"/>
      <c r="CH37" s="53"/>
      <c r="CI37" s="53"/>
      <c r="CJ37" s="53"/>
      <c r="CK37" s="53"/>
      <c r="CL37" s="53"/>
      <c r="CM37" s="53"/>
    </row>
    <row r="38" spans="1:91" s="2" customFormat="1" ht="17.100000000000001" customHeight="1" x14ac:dyDescent="0.2">
      <c r="A38" s="13"/>
      <c r="B38" s="36"/>
      <c r="C38" s="37"/>
      <c r="D38" s="172"/>
      <c r="E38" s="173"/>
      <c r="F38" s="38"/>
      <c r="G38" s="174"/>
      <c r="H38" s="175"/>
      <c r="I38" s="39"/>
      <c r="J38" s="40"/>
      <c r="K38" s="41"/>
      <c r="L38" s="42"/>
      <c r="M38" s="13"/>
      <c r="N38" s="53"/>
      <c r="O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3"/>
      <c r="BS38" s="53"/>
      <c r="BT38" s="53"/>
      <c r="BU38" s="53"/>
      <c r="BV38" s="53"/>
      <c r="BW38" s="53"/>
      <c r="BX38" s="53"/>
      <c r="BY38" s="53"/>
      <c r="BZ38" s="53"/>
      <c r="CA38" s="53"/>
      <c r="CB38" s="53"/>
      <c r="CC38" s="53"/>
      <c r="CD38" s="53"/>
      <c r="CE38" s="53"/>
      <c r="CF38" s="53"/>
      <c r="CG38" s="53"/>
      <c r="CH38" s="53"/>
      <c r="CI38" s="53"/>
      <c r="CJ38" s="53"/>
      <c r="CK38" s="53"/>
      <c r="CL38" s="53"/>
      <c r="CM38" s="53"/>
    </row>
    <row r="39" spans="1:91" s="2" customFormat="1" ht="17.100000000000001" customHeight="1" x14ac:dyDescent="0.2">
      <c r="A39" s="13"/>
      <c r="B39" s="36"/>
      <c r="C39" s="37"/>
      <c r="D39" s="172"/>
      <c r="E39" s="173"/>
      <c r="F39" s="38"/>
      <c r="G39" s="174"/>
      <c r="H39" s="175"/>
      <c r="I39" s="39"/>
      <c r="J39" s="40"/>
      <c r="K39" s="41"/>
      <c r="L39" s="42"/>
      <c r="M39" s="13"/>
      <c r="N39" s="53"/>
      <c r="O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53"/>
      <c r="BX39" s="53"/>
      <c r="BY39" s="53"/>
      <c r="BZ39" s="53"/>
      <c r="CA39" s="53"/>
      <c r="CB39" s="53"/>
      <c r="CC39" s="53"/>
      <c r="CD39" s="53"/>
      <c r="CE39" s="53"/>
      <c r="CF39" s="53"/>
      <c r="CG39" s="53"/>
      <c r="CH39" s="53"/>
      <c r="CI39" s="53"/>
      <c r="CJ39" s="53"/>
      <c r="CK39" s="53"/>
      <c r="CL39" s="53"/>
      <c r="CM39" s="53"/>
    </row>
    <row r="40" spans="1:91" s="2" customFormat="1" ht="17.100000000000001" customHeight="1" x14ac:dyDescent="0.2">
      <c r="A40" s="13"/>
      <c r="B40" s="36"/>
      <c r="C40" s="37"/>
      <c r="D40" s="172"/>
      <c r="E40" s="173"/>
      <c r="F40" s="38"/>
      <c r="G40" s="174"/>
      <c r="H40" s="175"/>
      <c r="I40" s="39"/>
      <c r="J40" s="40"/>
      <c r="K40" s="41"/>
      <c r="L40" s="42"/>
      <c r="M40" s="13"/>
      <c r="N40" s="53"/>
      <c r="O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3"/>
      <c r="BS40" s="53"/>
      <c r="BT40" s="53"/>
      <c r="BU40" s="53"/>
      <c r="BV40" s="53"/>
      <c r="BW40" s="53"/>
      <c r="BX40" s="53"/>
      <c r="BY40" s="53"/>
      <c r="BZ40" s="53"/>
      <c r="CA40" s="53"/>
      <c r="CB40" s="53"/>
      <c r="CC40" s="53"/>
      <c r="CD40" s="53"/>
      <c r="CE40" s="53"/>
      <c r="CF40" s="53"/>
      <c r="CG40" s="53"/>
      <c r="CH40" s="53"/>
      <c r="CI40" s="53"/>
      <c r="CJ40" s="53"/>
      <c r="CK40" s="53"/>
      <c r="CL40" s="53"/>
      <c r="CM40" s="53"/>
    </row>
    <row r="41" spans="1:91" s="2" customFormat="1" ht="17.100000000000001" customHeight="1" x14ac:dyDescent="0.2">
      <c r="A41" s="13"/>
      <c r="B41" s="36"/>
      <c r="C41" s="37"/>
      <c r="D41" s="172"/>
      <c r="E41" s="173"/>
      <c r="F41" s="38"/>
      <c r="G41" s="174"/>
      <c r="H41" s="175"/>
      <c r="I41" s="39"/>
      <c r="J41" s="40"/>
      <c r="K41" s="41"/>
      <c r="L41" s="42"/>
      <c r="M41" s="13"/>
      <c r="N41" s="53"/>
      <c r="O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53"/>
      <c r="CF41" s="53"/>
      <c r="CG41" s="53"/>
      <c r="CH41" s="53"/>
      <c r="CI41" s="53"/>
      <c r="CJ41" s="53"/>
      <c r="CK41" s="53"/>
      <c r="CL41" s="53"/>
      <c r="CM41" s="53"/>
    </row>
    <row r="42" spans="1:91" s="2" customFormat="1" x14ac:dyDescent="0.2">
      <c r="A42" s="13"/>
      <c r="B42" s="36"/>
      <c r="C42" s="37"/>
      <c r="D42" s="78"/>
      <c r="E42" s="79"/>
      <c r="F42" s="81" t="s">
        <v>161</v>
      </c>
      <c r="G42" s="174"/>
      <c r="H42" s="175"/>
      <c r="I42" s="39"/>
      <c r="J42" s="40"/>
      <c r="K42" s="41"/>
      <c r="L42" s="42"/>
      <c r="M42" s="13"/>
      <c r="N42" s="53"/>
      <c r="O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53"/>
      <c r="CE42" s="53"/>
      <c r="CF42" s="53"/>
      <c r="CG42" s="53"/>
      <c r="CH42" s="53"/>
      <c r="CI42" s="53"/>
      <c r="CJ42" s="53"/>
      <c r="CK42" s="53"/>
      <c r="CL42" s="53"/>
      <c r="CM42" s="53"/>
    </row>
    <row r="43" spans="1:91" s="2" customFormat="1" ht="13.15" customHeight="1" x14ac:dyDescent="0.2">
      <c r="A43" s="13"/>
      <c r="B43" s="26" t="s">
        <v>27</v>
      </c>
      <c r="C43" s="43"/>
      <c r="D43" s="26"/>
      <c r="E43" s="26"/>
      <c r="F43" s="176" t="s">
        <v>81</v>
      </c>
      <c r="G43" s="177"/>
      <c r="H43" s="177"/>
      <c r="I43" s="177"/>
      <c r="J43" s="177"/>
      <c r="K43" s="177"/>
      <c r="L43" s="177"/>
      <c r="M43" s="13"/>
      <c r="N43" s="53"/>
      <c r="O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K43" s="53"/>
      <c r="CL43" s="53"/>
      <c r="CM43" s="53"/>
    </row>
    <row r="44" spans="1:91" s="2" customFormat="1" ht="10.5" customHeight="1" x14ac:dyDescent="0.2">
      <c r="A44" s="13"/>
      <c r="B44" s="178" t="s">
        <v>28</v>
      </c>
      <c r="C44" s="177"/>
      <c r="D44" s="179"/>
      <c r="E44" s="179"/>
      <c r="F44" s="179"/>
      <c r="G44" s="179"/>
      <c r="H44" s="179"/>
      <c r="I44" s="179"/>
      <c r="J44" s="179"/>
      <c r="K44" s="179"/>
      <c r="L44" s="179"/>
      <c r="M44" s="13"/>
      <c r="N44" s="53"/>
      <c r="O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</row>
    <row r="45" spans="1:91" s="2" customFormat="1" x14ac:dyDescent="0.2">
      <c r="A45" s="13"/>
      <c r="B45" s="178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3"/>
      <c r="N45" s="53"/>
      <c r="O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53"/>
      <c r="CE45" s="53"/>
      <c r="CF45" s="53"/>
      <c r="CG45" s="53"/>
      <c r="CH45" s="53"/>
      <c r="CI45" s="53"/>
      <c r="CJ45" s="53"/>
      <c r="CK45" s="53"/>
      <c r="CL45" s="53"/>
      <c r="CM45" s="53"/>
    </row>
    <row r="46" spans="1:91" s="2" customFormat="1" x14ac:dyDescent="0.2">
      <c r="A46" s="13"/>
      <c r="B46" s="13"/>
      <c r="C46" s="13"/>
      <c r="D46" s="13"/>
      <c r="E46" s="44" t="s">
        <v>29</v>
      </c>
      <c r="F46" s="13"/>
      <c r="G46" s="13"/>
      <c r="H46" s="13"/>
      <c r="I46" s="20"/>
      <c r="J46" s="13"/>
      <c r="K46" s="13"/>
      <c r="L46" s="13"/>
      <c r="M46" s="13"/>
      <c r="N46" s="53"/>
      <c r="O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53"/>
      <c r="CE46" s="53"/>
      <c r="CF46" s="53"/>
      <c r="CG46" s="53"/>
      <c r="CH46" s="53"/>
      <c r="CI46" s="53"/>
      <c r="CJ46" s="53"/>
      <c r="CK46" s="53"/>
      <c r="CL46" s="53"/>
      <c r="CM46" s="53"/>
    </row>
    <row r="47" spans="1:91" s="2" customFormat="1" x14ac:dyDescent="0.2">
      <c r="A47" s="13"/>
      <c r="B47" s="45" t="s">
        <v>30</v>
      </c>
      <c r="C47" s="13"/>
      <c r="D47" s="13"/>
      <c r="E47" s="13"/>
      <c r="F47" s="13"/>
      <c r="G47" s="13"/>
      <c r="H47" s="13"/>
      <c r="I47" s="20"/>
      <c r="J47" s="13"/>
      <c r="K47" s="13"/>
      <c r="L47" s="13"/>
      <c r="M47" s="13"/>
      <c r="N47" s="53"/>
      <c r="O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  <c r="BK47" s="53"/>
      <c r="BL47" s="53"/>
      <c r="BM47" s="53"/>
      <c r="BN47" s="53"/>
      <c r="BO47" s="53"/>
      <c r="BP47" s="53"/>
      <c r="BQ47" s="53"/>
      <c r="BR47" s="53"/>
      <c r="BS47" s="53"/>
      <c r="BT47" s="53"/>
      <c r="BU47" s="53"/>
      <c r="BV47" s="53"/>
      <c r="BW47" s="53"/>
      <c r="BX47" s="53"/>
      <c r="BY47" s="53"/>
      <c r="BZ47" s="53"/>
      <c r="CA47" s="53"/>
      <c r="CB47" s="53"/>
      <c r="CC47" s="53"/>
      <c r="CD47" s="53"/>
      <c r="CE47" s="53"/>
      <c r="CF47" s="53"/>
      <c r="CG47" s="53"/>
      <c r="CH47" s="53"/>
      <c r="CI47" s="53"/>
      <c r="CJ47" s="53"/>
      <c r="CK47" s="53"/>
      <c r="CL47" s="53"/>
      <c r="CM47" s="53"/>
    </row>
    <row r="48" spans="1:91" s="2" customFormat="1" x14ac:dyDescent="0.2">
      <c r="A48" s="13"/>
      <c r="B48" s="45" t="s">
        <v>165</v>
      </c>
      <c r="C48" s="13"/>
      <c r="D48" s="13"/>
      <c r="E48" s="13"/>
      <c r="F48" s="13"/>
      <c r="G48" s="13"/>
      <c r="H48" s="13"/>
      <c r="I48" s="20"/>
      <c r="J48" s="13"/>
      <c r="K48" s="13"/>
      <c r="L48" s="13"/>
      <c r="M48" s="13"/>
      <c r="N48" s="53"/>
      <c r="O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53"/>
      <c r="CC48" s="53"/>
      <c r="CD48" s="53"/>
      <c r="CE48" s="53"/>
      <c r="CF48" s="53"/>
      <c r="CG48" s="53"/>
      <c r="CH48" s="53"/>
      <c r="CI48" s="53"/>
      <c r="CJ48" s="53"/>
      <c r="CK48" s="53"/>
      <c r="CL48" s="53"/>
      <c r="CM48" s="53"/>
    </row>
    <row r="49" spans="1:91" s="2" customFormat="1" x14ac:dyDescent="0.2">
      <c r="A49" s="13"/>
      <c r="B49" s="13"/>
      <c r="C49" s="46" t="s">
        <v>166</v>
      </c>
      <c r="D49" s="13"/>
      <c r="E49" s="13"/>
      <c r="F49" s="13"/>
      <c r="G49" s="13"/>
      <c r="H49" s="13"/>
      <c r="I49" s="20"/>
      <c r="J49" s="13"/>
      <c r="K49" s="13"/>
      <c r="L49" s="13"/>
      <c r="M49" s="13"/>
      <c r="N49" s="53"/>
      <c r="O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53"/>
      <c r="CE49" s="53"/>
      <c r="CF49" s="53"/>
      <c r="CG49" s="53"/>
      <c r="CH49" s="53"/>
      <c r="CI49" s="53"/>
      <c r="CJ49" s="53"/>
      <c r="CK49" s="53"/>
      <c r="CL49" s="53"/>
      <c r="CM49" s="53"/>
    </row>
    <row r="50" spans="1:91" s="2" customFormat="1" x14ac:dyDescent="0.2">
      <c r="A50" s="13"/>
      <c r="B50" s="13"/>
      <c r="C50" s="46" t="s">
        <v>31</v>
      </c>
      <c r="D50" s="13"/>
      <c r="E50" s="13"/>
      <c r="F50" s="13"/>
      <c r="G50" s="13"/>
      <c r="H50" s="13"/>
      <c r="I50" s="20"/>
      <c r="J50" s="13"/>
      <c r="K50" s="13"/>
      <c r="L50" s="13"/>
      <c r="M50" s="13"/>
      <c r="N50" s="53"/>
      <c r="O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53"/>
      <c r="CC50" s="53"/>
      <c r="CD50" s="53"/>
      <c r="CE50" s="53"/>
      <c r="CF50" s="53"/>
      <c r="CG50" s="53"/>
      <c r="CH50" s="53"/>
      <c r="CI50" s="53"/>
      <c r="CJ50" s="53"/>
      <c r="CK50" s="53"/>
      <c r="CL50" s="53"/>
      <c r="CM50" s="53"/>
    </row>
    <row r="51" spans="1:91" s="2" customFormat="1" x14ac:dyDescent="0.2">
      <c r="A51" s="13"/>
      <c r="B51" s="13"/>
      <c r="C51" s="46" t="s">
        <v>167</v>
      </c>
      <c r="D51" s="13"/>
      <c r="E51" s="13"/>
      <c r="F51" s="13"/>
      <c r="G51" s="13"/>
      <c r="H51" s="13"/>
      <c r="I51" s="20"/>
      <c r="J51" s="13"/>
      <c r="K51" s="13"/>
      <c r="L51" s="13"/>
      <c r="M51" s="13"/>
      <c r="N51" s="53"/>
      <c r="O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K51" s="53"/>
      <c r="BL51" s="53"/>
      <c r="BM51" s="53"/>
      <c r="BN51" s="53"/>
      <c r="BO51" s="53"/>
      <c r="BP51" s="53"/>
      <c r="BQ51" s="53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53"/>
      <c r="CC51" s="53"/>
      <c r="CD51" s="53"/>
      <c r="CE51" s="53"/>
      <c r="CF51" s="53"/>
      <c r="CG51" s="53"/>
      <c r="CH51" s="53"/>
      <c r="CI51" s="53"/>
      <c r="CJ51" s="53"/>
      <c r="CK51" s="53"/>
      <c r="CL51" s="53"/>
      <c r="CM51" s="53"/>
    </row>
    <row r="52" spans="1:91" s="2" customFormat="1" x14ac:dyDescent="0.2">
      <c r="A52" s="13"/>
      <c r="B52" s="13"/>
      <c r="C52" s="13"/>
      <c r="D52" s="46" t="s">
        <v>32</v>
      </c>
      <c r="E52" s="13"/>
      <c r="F52" s="13"/>
      <c r="G52" s="13"/>
      <c r="H52" s="13"/>
      <c r="I52" s="20"/>
      <c r="J52" s="13"/>
      <c r="K52" s="13"/>
      <c r="L52" s="13"/>
      <c r="M52" s="13"/>
      <c r="N52" s="53"/>
      <c r="O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53"/>
      <c r="CE52" s="53"/>
      <c r="CF52" s="53"/>
      <c r="CG52" s="53"/>
      <c r="CH52" s="53"/>
      <c r="CI52" s="53"/>
      <c r="CJ52" s="53"/>
      <c r="CK52" s="53"/>
      <c r="CL52" s="53"/>
      <c r="CM52" s="53"/>
    </row>
    <row r="53" spans="1:91" s="2" customFormat="1" x14ac:dyDescent="0.2">
      <c r="A53" s="13"/>
      <c r="B53" s="46" t="s">
        <v>33</v>
      </c>
      <c r="C53" s="13"/>
      <c r="D53" s="13"/>
      <c r="E53" s="13"/>
      <c r="F53" s="13"/>
      <c r="G53" s="13"/>
      <c r="H53" s="13"/>
      <c r="I53" s="20"/>
      <c r="J53" s="13"/>
      <c r="K53" s="13"/>
      <c r="L53" s="13"/>
      <c r="M53" s="13"/>
      <c r="N53" s="53"/>
      <c r="O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53"/>
      <c r="CC53" s="53"/>
      <c r="CD53" s="53"/>
      <c r="CE53" s="53"/>
      <c r="CF53" s="53"/>
      <c r="CG53" s="53"/>
      <c r="CH53" s="53"/>
      <c r="CI53" s="53"/>
      <c r="CJ53" s="53"/>
      <c r="CK53" s="53"/>
      <c r="CL53" s="53"/>
      <c r="CM53" s="53"/>
    </row>
    <row r="54" spans="1:91" s="2" customFormat="1" ht="16.5" customHeight="1" x14ac:dyDescent="0.2">
      <c r="A54" s="13"/>
      <c r="B54" s="46"/>
      <c r="C54" s="13"/>
      <c r="D54" s="13"/>
      <c r="E54" s="13"/>
      <c r="F54" s="13"/>
      <c r="G54" s="13"/>
      <c r="H54" s="13"/>
      <c r="I54" s="20"/>
      <c r="J54" s="13"/>
      <c r="K54" s="13"/>
      <c r="L54" s="13"/>
      <c r="M54" s="13"/>
      <c r="N54" s="53"/>
      <c r="O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 s="53"/>
      <c r="CF54" s="53"/>
      <c r="CG54" s="53"/>
      <c r="CH54" s="53"/>
      <c r="CI54" s="53"/>
      <c r="CJ54" s="53"/>
      <c r="CK54" s="53"/>
      <c r="CL54" s="53"/>
      <c r="CM54" s="53"/>
    </row>
    <row r="55" spans="1:91" s="2" customFormat="1" ht="17.25" customHeight="1" x14ac:dyDescent="0.2">
      <c r="A55" s="13"/>
      <c r="B55" s="47" t="s">
        <v>168</v>
      </c>
      <c r="C55" s="13"/>
      <c r="D55" s="13"/>
      <c r="E55" s="13"/>
      <c r="F55" s="13"/>
      <c r="G55" s="13"/>
      <c r="H55" s="13"/>
      <c r="I55" s="20"/>
      <c r="J55" s="13"/>
      <c r="K55" s="13"/>
      <c r="L55" s="13"/>
      <c r="M55" s="13"/>
      <c r="N55" s="53"/>
      <c r="O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K55" s="53"/>
      <c r="BL55" s="53"/>
      <c r="BM55" s="53"/>
      <c r="BN55" s="53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 s="53"/>
      <c r="CF55" s="53"/>
      <c r="CG55" s="53"/>
      <c r="CH55" s="53"/>
      <c r="CI55" s="53"/>
      <c r="CJ55" s="53"/>
      <c r="CK55" s="53"/>
      <c r="CL55" s="53"/>
      <c r="CM55" s="53"/>
    </row>
    <row r="56" spans="1:91" s="2" customFormat="1" x14ac:dyDescent="0.2">
      <c r="A56" s="13"/>
      <c r="B56" s="13"/>
      <c r="C56" s="13"/>
      <c r="D56" s="13"/>
      <c r="E56" s="13"/>
      <c r="F56" s="13"/>
      <c r="G56" s="13"/>
      <c r="H56" s="13"/>
      <c r="I56" s="48" t="s">
        <v>34</v>
      </c>
      <c r="J56" s="13"/>
      <c r="K56" s="13"/>
      <c r="L56" s="13"/>
      <c r="M56" s="13"/>
      <c r="N56" s="53"/>
      <c r="O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K56" s="53"/>
      <c r="BL56" s="53"/>
      <c r="BM56" s="53"/>
      <c r="BN56" s="53"/>
      <c r="BO56" s="53"/>
      <c r="BP56" s="53"/>
      <c r="BQ56" s="53"/>
      <c r="BR56" s="53"/>
      <c r="BS56" s="53"/>
      <c r="BT56" s="53"/>
      <c r="BU56" s="53"/>
      <c r="BV56" s="53"/>
      <c r="BW56" s="53"/>
      <c r="BX56" s="53"/>
      <c r="BY56" s="53"/>
      <c r="BZ56" s="53"/>
      <c r="CA56" s="53"/>
      <c r="CB56" s="53"/>
      <c r="CC56" s="53"/>
      <c r="CD56" s="53"/>
      <c r="CE56" s="53"/>
      <c r="CF56" s="53"/>
      <c r="CG56" s="53"/>
      <c r="CH56" s="53"/>
      <c r="CI56" s="53"/>
      <c r="CJ56" s="53"/>
      <c r="CK56" s="53"/>
      <c r="CL56" s="53"/>
      <c r="CM56" s="53"/>
    </row>
    <row r="57" spans="1:91" s="2" customFormat="1" x14ac:dyDescent="0.2">
      <c r="A57" s="13"/>
      <c r="B57" s="49"/>
      <c r="C57" s="49"/>
      <c r="D57" s="49"/>
      <c r="E57" s="49"/>
      <c r="F57" s="49"/>
      <c r="G57" s="50" t="s">
        <v>35</v>
      </c>
      <c r="H57" s="13"/>
      <c r="I57" s="20"/>
      <c r="J57" s="13"/>
      <c r="K57" s="13"/>
      <c r="L57" s="13"/>
      <c r="M57" s="13"/>
      <c r="N57" s="53"/>
      <c r="O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  <c r="BA57" s="53"/>
      <c r="BB57" s="53"/>
      <c r="BC57" s="53"/>
      <c r="BD57" s="53"/>
      <c r="BE57" s="53"/>
      <c r="BF57" s="53"/>
      <c r="BG57" s="53"/>
      <c r="BH57" s="53"/>
      <c r="BI57" s="53"/>
      <c r="BJ57" s="53"/>
      <c r="BK57" s="53"/>
      <c r="BL57" s="53"/>
      <c r="BM57" s="53"/>
      <c r="BN57" s="53"/>
      <c r="BO57" s="53"/>
      <c r="BP57" s="53"/>
      <c r="BQ57" s="53"/>
      <c r="BR57" s="53"/>
      <c r="BS57" s="53"/>
      <c r="BT57" s="53"/>
      <c r="BU57" s="53"/>
      <c r="BV57" s="53"/>
      <c r="BW57" s="53"/>
      <c r="BX57" s="53"/>
      <c r="BY57" s="53"/>
      <c r="BZ57" s="53"/>
      <c r="CA57" s="53"/>
      <c r="CB57" s="53"/>
      <c r="CC57" s="53"/>
      <c r="CD57" s="53"/>
      <c r="CE57" s="53"/>
      <c r="CF57" s="53"/>
      <c r="CG57" s="53"/>
      <c r="CH57" s="53"/>
      <c r="CI57" s="53"/>
      <c r="CJ57" s="53"/>
      <c r="CK57" s="53"/>
      <c r="CL57" s="53"/>
      <c r="CM57" s="53"/>
    </row>
    <row r="58" spans="1:91" s="2" customFormat="1" x14ac:dyDescent="0.2">
      <c r="A58" s="13"/>
      <c r="B58" s="51" t="s">
        <v>36</v>
      </c>
      <c r="C58" s="51"/>
      <c r="D58" s="51"/>
      <c r="E58" s="51"/>
      <c r="F58" s="51" t="s">
        <v>37</v>
      </c>
      <c r="G58" s="50" t="s">
        <v>38</v>
      </c>
      <c r="H58" s="13"/>
      <c r="I58" s="20"/>
      <c r="J58" s="13"/>
      <c r="K58" s="13"/>
      <c r="L58" s="13"/>
      <c r="M58" s="13"/>
      <c r="N58" s="53"/>
      <c r="O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  <c r="BA58" s="53"/>
      <c r="BB58" s="53"/>
      <c r="BC58" s="53"/>
      <c r="BD58" s="53"/>
      <c r="BE58" s="53"/>
      <c r="BF58" s="53"/>
      <c r="BG58" s="53"/>
      <c r="BH58" s="53"/>
      <c r="BI58" s="53"/>
      <c r="BJ58" s="53"/>
      <c r="BK58" s="53"/>
      <c r="BL58" s="53"/>
      <c r="BM58" s="53"/>
      <c r="BN58" s="53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53"/>
      <c r="CC58" s="53"/>
      <c r="CD58" s="53"/>
      <c r="CE58" s="53"/>
      <c r="CF58" s="53"/>
      <c r="CG58" s="53"/>
      <c r="CH58" s="53"/>
      <c r="CI58" s="53"/>
      <c r="CJ58" s="53"/>
      <c r="CK58" s="53"/>
      <c r="CL58" s="53"/>
      <c r="CM58" s="53"/>
    </row>
    <row r="59" spans="1:91" s="2" customFormat="1" x14ac:dyDescent="0.2">
      <c r="A59" s="13"/>
      <c r="B59" s="13"/>
      <c r="C59" s="13"/>
      <c r="D59" s="13"/>
      <c r="E59" s="13"/>
      <c r="F59" s="13"/>
      <c r="G59" s="50" t="s">
        <v>39</v>
      </c>
      <c r="H59" s="13"/>
      <c r="I59" s="20"/>
      <c r="J59" s="13"/>
      <c r="K59" s="13"/>
      <c r="L59" s="13"/>
      <c r="M59" s="13"/>
      <c r="N59" s="53"/>
      <c r="O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  <c r="BA59" s="53"/>
      <c r="BB59" s="53"/>
      <c r="BC59" s="53"/>
      <c r="BD59" s="53"/>
      <c r="BE59" s="53"/>
      <c r="BF59" s="53"/>
      <c r="BG59" s="53"/>
      <c r="BH59" s="53"/>
      <c r="BI59" s="53"/>
      <c r="BJ59" s="53"/>
      <c r="BK59" s="53"/>
      <c r="BL59" s="53"/>
      <c r="BM59" s="53"/>
      <c r="BN59" s="53"/>
      <c r="BO59" s="53"/>
      <c r="BP59" s="53"/>
      <c r="BQ59" s="53"/>
      <c r="BR59" s="53"/>
      <c r="BS59" s="53"/>
      <c r="BT59" s="53"/>
      <c r="BU59" s="53"/>
      <c r="BV59" s="53"/>
      <c r="BW59" s="53"/>
      <c r="BX59" s="53"/>
      <c r="BY59" s="53"/>
      <c r="BZ59" s="53"/>
      <c r="CA59" s="53"/>
      <c r="CB59" s="53"/>
      <c r="CC59" s="53"/>
      <c r="CD59" s="53"/>
      <c r="CE59" s="53"/>
      <c r="CF59" s="53"/>
      <c r="CG59" s="53"/>
      <c r="CH59" s="53"/>
      <c r="CI59" s="53"/>
      <c r="CJ59" s="53"/>
      <c r="CK59" s="53"/>
      <c r="CL59" s="53"/>
      <c r="CM59" s="53"/>
    </row>
    <row r="60" spans="1:91" s="2" customFormat="1" x14ac:dyDescent="0.2">
      <c r="A60" s="13"/>
      <c r="B60" s="52"/>
      <c r="C60" s="52"/>
      <c r="D60" s="52"/>
      <c r="E60" s="52"/>
      <c r="F60" s="52"/>
      <c r="G60" s="50" t="s">
        <v>40</v>
      </c>
      <c r="H60" s="13"/>
      <c r="I60" s="20"/>
      <c r="J60" s="13"/>
      <c r="K60" s="13"/>
      <c r="L60" s="13"/>
      <c r="M60" s="13"/>
      <c r="N60" s="53"/>
      <c r="O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53"/>
      <c r="CC60" s="53"/>
      <c r="CD60" s="53"/>
      <c r="CE60" s="53"/>
      <c r="CF60" s="53"/>
      <c r="CG60" s="53"/>
      <c r="CH60" s="53"/>
      <c r="CI60" s="53"/>
      <c r="CJ60" s="53"/>
      <c r="CK60" s="53"/>
      <c r="CL60" s="53"/>
      <c r="CM60" s="53"/>
    </row>
    <row r="61" spans="1:91" s="2" customFormat="1" x14ac:dyDescent="0.2">
      <c r="A61" s="13"/>
      <c r="B61" s="13" t="s">
        <v>41</v>
      </c>
      <c r="C61" s="13"/>
      <c r="D61" s="13"/>
      <c r="E61" s="13"/>
      <c r="F61" s="13"/>
      <c r="G61" s="50" t="s">
        <v>42</v>
      </c>
      <c r="H61" s="13"/>
      <c r="I61" s="20"/>
      <c r="J61" s="13"/>
      <c r="K61" s="13"/>
      <c r="L61" s="13"/>
      <c r="M61" s="13"/>
      <c r="N61" s="53"/>
      <c r="O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  <c r="BA61" s="53"/>
      <c r="BB61" s="53"/>
      <c r="BC61" s="53"/>
      <c r="BD61" s="53"/>
      <c r="BE61" s="53"/>
      <c r="BF61" s="53"/>
      <c r="BG61" s="53"/>
      <c r="BH61" s="53"/>
      <c r="BI61" s="53"/>
      <c r="BJ61" s="53"/>
      <c r="BK61" s="53"/>
      <c r="BL61" s="53"/>
      <c r="BM61" s="53"/>
      <c r="BN61" s="53"/>
      <c r="BO61" s="53"/>
      <c r="BP61" s="53"/>
      <c r="BQ61" s="53"/>
      <c r="BR61" s="53"/>
      <c r="BS61" s="53"/>
      <c r="BT61" s="53"/>
      <c r="BU61" s="53"/>
      <c r="BV61" s="53"/>
      <c r="BW61" s="53"/>
      <c r="BX61" s="53"/>
      <c r="BY61" s="53"/>
      <c r="BZ61" s="53"/>
      <c r="CA61" s="53"/>
      <c r="CB61" s="53"/>
      <c r="CC61" s="53"/>
      <c r="CD61" s="53"/>
      <c r="CE61" s="53"/>
      <c r="CF61" s="53"/>
      <c r="CG61" s="53"/>
      <c r="CH61" s="53"/>
      <c r="CI61" s="53"/>
      <c r="CJ61" s="53"/>
      <c r="CK61" s="53"/>
      <c r="CL61" s="53"/>
      <c r="CM61" s="53"/>
    </row>
    <row r="62" spans="1:91" s="2" customFormat="1" ht="12.75" customHeight="1" x14ac:dyDescent="0.2">
      <c r="A62" s="13"/>
      <c r="B62" s="46"/>
      <c r="C62" s="13"/>
      <c r="D62" s="13"/>
      <c r="E62" s="13"/>
      <c r="F62" s="13"/>
      <c r="G62" s="180"/>
      <c r="H62" s="180"/>
      <c r="I62" s="180"/>
      <c r="J62" s="180"/>
      <c r="K62" s="180"/>
      <c r="L62" s="180"/>
      <c r="M62" s="13"/>
      <c r="N62" s="53"/>
      <c r="O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53"/>
      <c r="CC62" s="53"/>
      <c r="CD62" s="53"/>
      <c r="CE62" s="53"/>
      <c r="CF62" s="53"/>
      <c r="CG62" s="53"/>
      <c r="CH62" s="53"/>
      <c r="CI62" s="53"/>
      <c r="CJ62" s="53"/>
      <c r="CK62" s="53"/>
      <c r="CL62" s="53"/>
      <c r="CM62" s="53"/>
    </row>
    <row r="63" spans="1:91" s="2" customFormat="1" ht="12.75" customHeight="1" x14ac:dyDescent="0.2">
      <c r="A63" s="13"/>
      <c r="B63" s="182" t="s">
        <v>43</v>
      </c>
      <c r="C63" s="183"/>
      <c r="D63" s="186"/>
      <c r="E63" s="187"/>
      <c r="F63" s="188"/>
      <c r="G63" s="180"/>
      <c r="H63" s="180"/>
      <c r="I63" s="180"/>
      <c r="J63" s="180"/>
      <c r="K63" s="180"/>
      <c r="L63" s="180"/>
      <c r="M63" s="13"/>
      <c r="N63" s="53"/>
      <c r="O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3"/>
      <c r="BJ63" s="53"/>
      <c r="BK63" s="53"/>
      <c r="BL63" s="53"/>
      <c r="BM63" s="53"/>
      <c r="BN63" s="53"/>
      <c r="BO63" s="53"/>
      <c r="BP63" s="53"/>
      <c r="BQ63" s="53"/>
      <c r="BR63" s="53"/>
      <c r="BS63" s="53"/>
      <c r="BT63" s="53"/>
      <c r="BU63" s="53"/>
      <c r="BV63" s="53"/>
      <c r="BW63" s="53"/>
      <c r="BX63" s="53"/>
      <c r="BY63" s="53"/>
      <c r="BZ63" s="53"/>
      <c r="CA63" s="53"/>
      <c r="CB63" s="53"/>
      <c r="CC63" s="53"/>
      <c r="CD63" s="53"/>
      <c r="CE63" s="53"/>
      <c r="CF63" s="53"/>
      <c r="CG63" s="53"/>
      <c r="CH63" s="53"/>
      <c r="CI63" s="53"/>
      <c r="CJ63" s="53"/>
      <c r="CK63" s="53"/>
      <c r="CL63" s="53"/>
      <c r="CM63" s="53"/>
    </row>
    <row r="64" spans="1:91" s="2" customFormat="1" x14ac:dyDescent="0.2">
      <c r="A64" s="13"/>
      <c r="B64" s="184"/>
      <c r="C64" s="185"/>
      <c r="D64" s="189"/>
      <c r="E64" s="190"/>
      <c r="F64" s="191"/>
      <c r="G64" s="181"/>
      <c r="H64" s="181"/>
      <c r="I64" s="181"/>
      <c r="J64" s="181"/>
      <c r="K64" s="181"/>
      <c r="L64" s="181"/>
      <c r="M64" s="13"/>
      <c r="N64" s="53"/>
      <c r="O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3"/>
      <c r="AZ64" s="53"/>
      <c r="BA64" s="53"/>
      <c r="BB64" s="53"/>
      <c r="BC64" s="53"/>
      <c r="BD64" s="53"/>
      <c r="BE64" s="53"/>
      <c r="BF64" s="53"/>
      <c r="BG64" s="53"/>
      <c r="BH64" s="53"/>
      <c r="BI64" s="53"/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53"/>
      <c r="CC64" s="53"/>
      <c r="CD64" s="53"/>
      <c r="CE64" s="53"/>
      <c r="CF64" s="53"/>
      <c r="CG64" s="53"/>
      <c r="CH64" s="53"/>
      <c r="CI64" s="53"/>
      <c r="CJ64" s="53"/>
      <c r="CK64" s="53"/>
      <c r="CL64" s="53"/>
      <c r="CM64" s="53"/>
    </row>
    <row r="65" spans="1:91" s="2" customFormat="1" x14ac:dyDescent="0.2">
      <c r="A65" s="13"/>
      <c r="B65" s="51"/>
      <c r="C65" s="13"/>
      <c r="D65" s="23"/>
      <c r="E65" s="58"/>
      <c r="F65" s="58"/>
      <c r="G65" s="58"/>
      <c r="H65" s="170" t="s">
        <v>112</v>
      </c>
      <c r="I65" s="170"/>
      <c r="J65" s="170"/>
      <c r="K65" s="170"/>
      <c r="L65" s="170"/>
      <c r="M65" s="13"/>
      <c r="N65" s="53"/>
      <c r="O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  <c r="AX65" s="53"/>
      <c r="AY65" s="53"/>
      <c r="AZ65" s="53"/>
      <c r="BA65" s="53"/>
      <c r="BB65" s="53"/>
      <c r="BC65" s="53"/>
      <c r="BD65" s="53"/>
      <c r="BE65" s="53"/>
      <c r="BF65" s="53"/>
      <c r="BG65" s="53"/>
      <c r="BH65" s="53"/>
      <c r="BI65" s="53"/>
      <c r="BJ65" s="53"/>
      <c r="BK65" s="53"/>
      <c r="BL65" s="53"/>
      <c r="BM65" s="53"/>
      <c r="BN65" s="53"/>
      <c r="BO65" s="53"/>
      <c r="BP65" s="53"/>
      <c r="BQ65" s="53"/>
      <c r="BR65" s="53"/>
      <c r="BS65" s="53"/>
      <c r="BT65" s="53"/>
      <c r="BU65" s="53"/>
      <c r="BV65" s="53"/>
      <c r="BW65" s="53"/>
      <c r="BX65" s="53"/>
      <c r="BY65" s="53"/>
      <c r="BZ65" s="53"/>
      <c r="CA65" s="53"/>
      <c r="CB65" s="53"/>
      <c r="CC65" s="53"/>
      <c r="CD65" s="53"/>
      <c r="CE65" s="53"/>
      <c r="CF65" s="53"/>
      <c r="CG65" s="53"/>
      <c r="CH65" s="53"/>
      <c r="CI65" s="53"/>
      <c r="CJ65" s="53"/>
      <c r="CK65" s="53"/>
      <c r="CL65" s="53"/>
      <c r="CM65" s="53"/>
    </row>
    <row r="66" spans="1:91" x14ac:dyDescent="0.2">
      <c r="B66" s="46"/>
      <c r="C66" s="13"/>
      <c r="D66" s="13"/>
      <c r="E66" s="13"/>
      <c r="F66" s="13"/>
      <c r="G66" s="171"/>
      <c r="H66" s="171"/>
      <c r="I66" s="171"/>
      <c r="J66" s="171"/>
      <c r="K66" s="171"/>
      <c r="L66" s="171"/>
      <c r="M66" s="13"/>
    </row>
    <row r="67" spans="1:91" x14ac:dyDescent="0.2">
      <c r="A67" s="53"/>
    </row>
    <row r="68" spans="1:91" x14ac:dyDescent="0.2">
      <c r="A68" s="53"/>
      <c r="J68" s="56"/>
      <c r="L68" s="56"/>
    </row>
    <row r="69" spans="1:91" ht="12.75" customHeight="1" x14ac:dyDescent="0.2">
      <c r="A69" s="53"/>
    </row>
    <row r="70" spans="1:91" ht="12.75" hidden="1" customHeight="1" x14ac:dyDescent="0.2">
      <c r="A70" s="53"/>
      <c r="I70" s="57"/>
    </row>
    <row r="71" spans="1:91" ht="5.25" customHeight="1" x14ac:dyDescent="0.2">
      <c r="A71" s="53"/>
    </row>
    <row r="72" spans="1:91" x14ac:dyDescent="0.2">
      <c r="A72" s="53"/>
    </row>
    <row r="73" spans="1:91" x14ac:dyDescent="0.2">
      <c r="A73" s="53"/>
    </row>
    <row r="74" spans="1:91" x14ac:dyDescent="0.2">
      <c r="A74" s="53"/>
    </row>
    <row r="75" spans="1:91" x14ac:dyDescent="0.2">
      <c r="A75" s="53"/>
    </row>
    <row r="76" spans="1:91" x14ac:dyDescent="0.2">
      <c r="A76" s="53"/>
    </row>
    <row r="77" spans="1:91" x14ac:dyDescent="0.2">
      <c r="A77" s="53"/>
    </row>
    <row r="78" spans="1:91" x14ac:dyDescent="0.2">
      <c r="A78" s="53"/>
    </row>
  </sheetData>
  <mergeCells count="78">
    <mergeCell ref="H1:L3"/>
    <mergeCell ref="H4:L7"/>
    <mergeCell ref="C9:F9"/>
    <mergeCell ref="I9:L9"/>
    <mergeCell ref="C10:F10"/>
    <mergeCell ref="I10:L10"/>
    <mergeCell ref="C11:F11"/>
    <mergeCell ref="I11:L11"/>
    <mergeCell ref="C12:D12"/>
    <mergeCell ref="K12:L12"/>
    <mergeCell ref="C13:F13"/>
    <mergeCell ref="I13:L13"/>
    <mergeCell ref="C14:F14"/>
    <mergeCell ref="I14:L14"/>
    <mergeCell ref="C15:F15"/>
    <mergeCell ref="I15:L15"/>
    <mergeCell ref="C16:F16"/>
    <mergeCell ref="I16:L16"/>
    <mergeCell ref="B17:B19"/>
    <mergeCell ref="C17:C19"/>
    <mergeCell ref="D17:D19"/>
    <mergeCell ref="E17:E19"/>
    <mergeCell ref="F17:F18"/>
    <mergeCell ref="I17:I19"/>
    <mergeCell ref="J17:L19"/>
    <mergeCell ref="D21:E21"/>
    <mergeCell ref="G21:H21"/>
    <mergeCell ref="D22:E22"/>
    <mergeCell ref="G22:H22"/>
    <mergeCell ref="H17:H18"/>
    <mergeCell ref="G17:G18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B44:B45"/>
    <mergeCell ref="C44:L45"/>
    <mergeCell ref="G62:L64"/>
    <mergeCell ref="B63:C64"/>
    <mergeCell ref="D63:F64"/>
    <mergeCell ref="H65:L65"/>
    <mergeCell ref="G66:L66"/>
    <mergeCell ref="D41:E41"/>
    <mergeCell ref="G41:H41"/>
    <mergeCell ref="F43:L43"/>
    <mergeCell ref="G42:H42"/>
  </mergeCells>
  <pageMargins left="0.25" right="0.25" top="0.75" bottom="0.75" header="0.3" footer="0.3"/>
  <pageSetup scale="67" orientation="portrait" horizontalDpi="4294967293" r:id="rId1"/>
  <headerFooter alignWithMargins="0">
    <oddFooter>&amp;L&amp;N&amp;R&amp;A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CB3DD-2519-4B9F-B20E-D1A442E58F4A}">
  <sheetPr codeName="Sheet12">
    <tabColor rgb="FFFF0000"/>
    <pageSetUpPr fitToPage="1"/>
  </sheetPr>
  <dimension ref="A1:K51"/>
  <sheetViews>
    <sheetView zoomScaleNormal="100" workbookViewId="0">
      <selection activeCell="K33" sqref="K33"/>
    </sheetView>
  </sheetViews>
  <sheetFormatPr defaultRowHeight="12.4" customHeight="1" x14ac:dyDescent="0.2"/>
  <cols>
    <col min="1" max="1" width="12.28515625" style="77" customWidth="1"/>
    <col min="2" max="2" width="19.42578125" style="77" customWidth="1"/>
    <col min="3" max="4" width="9.140625" style="77"/>
    <col min="5" max="5" width="11" style="77" customWidth="1"/>
    <col min="6" max="7" width="9.140625" style="77"/>
    <col min="8" max="8" width="13" style="77" customWidth="1"/>
    <col min="9" max="9" width="7.85546875" style="77" customWidth="1"/>
    <col min="10" max="10" width="12.7109375" style="77" customWidth="1"/>
    <col min="11" max="11" width="9.28515625" style="77" customWidth="1"/>
    <col min="12" max="16384" width="9.140625" style="77"/>
  </cols>
  <sheetData>
    <row r="1" spans="1:11" ht="12.4" customHeight="1" x14ac:dyDescent="0.2">
      <c r="A1" s="32" t="s">
        <v>22</v>
      </c>
      <c r="B1" s="32" t="s">
        <v>23</v>
      </c>
      <c r="C1" s="204" t="s">
        <v>24</v>
      </c>
      <c r="D1" s="205"/>
      <c r="E1" s="32" t="s">
        <v>25</v>
      </c>
      <c r="F1" s="206" t="s">
        <v>162</v>
      </c>
      <c r="G1" s="207"/>
      <c r="H1" s="33" t="s">
        <v>163</v>
      </c>
      <c r="I1" s="34" t="s">
        <v>156</v>
      </c>
      <c r="J1" s="35" t="s">
        <v>75</v>
      </c>
      <c r="K1" s="34" t="s">
        <v>26</v>
      </c>
    </row>
    <row r="2" spans="1:11" ht="12.4" customHeight="1" x14ac:dyDescent="0.2">
      <c r="A2" s="36"/>
      <c r="B2" s="37"/>
      <c r="C2" s="172"/>
      <c r="D2" s="173"/>
      <c r="E2" s="38"/>
      <c r="F2" s="174"/>
      <c r="G2" s="175"/>
      <c r="H2" s="39"/>
      <c r="I2" s="40"/>
      <c r="J2" s="41"/>
      <c r="K2" s="42"/>
    </row>
    <row r="3" spans="1:11" ht="12.4" customHeight="1" x14ac:dyDescent="0.2">
      <c r="A3" s="36"/>
      <c r="B3" s="37"/>
      <c r="C3" s="172"/>
      <c r="D3" s="173"/>
      <c r="E3" s="38"/>
      <c r="F3" s="174"/>
      <c r="G3" s="175"/>
      <c r="H3" s="39"/>
      <c r="I3" s="40"/>
      <c r="J3" s="41"/>
      <c r="K3" s="42"/>
    </row>
    <row r="4" spans="1:11" ht="12.4" customHeight="1" x14ac:dyDescent="0.2">
      <c r="A4" s="36"/>
      <c r="B4" s="37"/>
      <c r="C4" s="172"/>
      <c r="D4" s="173"/>
      <c r="E4" s="38"/>
      <c r="F4" s="174"/>
      <c r="G4" s="175"/>
      <c r="H4" s="39"/>
      <c r="I4" s="40"/>
      <c r="J4" s="41"/>
      <c r="K4" s="42"/>
    </row>
    <row r="5" spans="1:11" ht="12.4" customHeight="1" x14ac:dyDescent="0.2">
      <c r="A5" s="36"/>
      <c r="B5" s="37"/>
      <c r="C5" s="172"/>
      <c r="D5" s="173"/>
      <c r="E5" s="38"/>
      <c r="F5" s="174"/>
      <c r="G5" s="175"/>
      <c r="H5" s="39"/>
      <c r="I5" s="40"/>
      <c r="J5" s="41"/>
      <c r="K5" s="42"/>
    </row>
    <row r="6" spans="1:11" ht="12.4" customHeight="1" x14ac:dyDescent="0.2">
      <c r="A6" s="36"/>
      <c r="B6" s="37"/>
      <c r="C6" s="172"/>
      <c r="D6" s="173"/>
      <c r="E6" s="38"/>
      <c r="F6" s="174"/>
      <c r="G6" s="175"/>
      <c r="H6" s="39"/>
      <c r="I6" s="40"/>
      <c r="J6" s="41"/>
      <c r="K6" s="42"/>
    </row>
    <row r="7" spans="1:11" ht="12.4" customHeight="1" x14ac:dyDescent="0.2">
      <c r="A7" s="36"/>
      <c r="B7" s="37"/>
      <c r="C7" s="172"/>
      <c r="D7" s="173"/>
      <c r="E7" s="38"/>
      <c r="F7" s="174"/>
      <c r="G7" s="175"/>
      <c r="H7" s="39"/>
      <c r="I7" s="40"/>
      <c r="J7" s="41"/>
      <c r="K7" s="42"/>
    </row>
    <row r="8" spans="1:11" ht="12.4" customHeight="1" x14ac:dyDescent="0.2">
      <c r="A8" s="36"/>
      <c r="B8" s="37"/>
      <c r="C8" s="172"/>
      <c r="D8" s="173"/>
      <c r="E8" s="38"/>
      <c r="F8" s="174"/>
      <c r="G8" s="175"/>
      <c r="H8" s="39"/>
      <c r="I8" s="40"/>
      <c r="J8" s="41"/>
      <c r="K8" s="42"/>
    </row>
    <row r="9" spans="1:11" ht="12.4" customHeight="1" x14ac:dyDescent="0.2">
      <c r="A9" s="36"/>
      <c r="B9" s="37"/>
      <c r="C9" s="172"/>
      <c r="D9" s="173"/>
      <c r="E9" s="38"/>
      <c r="F9" s="174"/>
      <c r="G9" s="175"/>
      <c r="H9" s="39"/>
      <c r="I9" s="40"/>
      <c r="J9" s="41"/>
      <c r="K9" s="42"/>
    </row>
    <row r="10" spans="1:11" ht="12.4" customHeight="1" x14ac:dyDescent="0.2">
      <c r="A10" s="36"/>
      <c r="B10" s="37"/>
      <c r="C10" s="172"/>
      <c r="D10" s="173"/>
      <c r="E10" s="38"/>
      <c r="F10" s="174"/>
      <c r="G10" s="175"/>
      <c r="H10" s="39"/>
      <c r="I10" s="40"/>
      <c r="J10" s="41"/>
      <c r="K10" s="42"/>
    </row>
    <row r="11" spans="1:11" ht="12.4" customHeight="1" x14ac:dyDescent="0.2">
      <c r="A11" s="36"/>
      <c r="B11" s="37"/>
      <c r="C11" s="172"/>
      <c r="D11" s="173"/>
      <c r="E11" s="38"/>
      <c r="F11" s="174"/>
      <c r="G11" s="175"/>
      <c r="H11" s="39"/>
      <c r="I11" s="40"/>
      <c r="J11" s="41"/>
      <c r="K11" s="42"/>
    </row>
    <row r="12" spans="1:11" ht="12.4" customHeight="1" x14ac:dyDescent="0.2">
      <c r="A12" s="36"/>
      <c r="B12" s="37"/>
      <c r="C12" s="172"/>
      <c r="D12" s="173"/>
      <c r="E12" s="38"/>
      <c r="F12" s="174"/>
      <c r="G12" s="175"/>
      <c r="H12" s="39"/>
      <c r="I12" s="40"/>
      <c r="J12" s="41"/>
      <c r="K12" s="42"/>
    </row>
    <row r="13" spans="1:11" ht="12.4" customHeight="1" x14ac:dyDescent="0.2">
      <c r="A13" s="36"/>
      <c r="B13" s="37"/>
      <c r="C13" s="172"/>
      <c r="D13" s="173"/>
      <c r="E13" s="38"/>
      <c r="F13" s="174"/>
      <c r="G13" s="175"/>
      <c r="H13" s="39"/>
      <c r="I13" s="40"/>
      <c r="J13" s="41"/>
      <c r="K13" s="42"/>
    </row>
    <row r="14" spans="1:11" ht="12.4" customHeight="1" x14ac:dyDescent="0.2">
      <c r="A14" s="36"/>
      <c r="B14" s="37"/>
      <c r="C14" s="172"/>
      <c r="D14" s="173"/>
      <c r="E14" s="38"/>
      <c r="F14" s="174"/>
      <c r="G14" s="175"/>
      <c r="H14" s="39"/>
      <c r="I14" s="40"/>
      <c r="J14" s="41"/>
      <c r="K14" s="42"/>
    </row>
    <row r="15" spans="1:11" ht="12.4" customHeight="1" x14ac:dyDescent="0.2">
      <c r="A15" s="36"/>
      <c r="B15" s="37"/>
      <c r="C15" s="172"/>
      <c r="D15" s="173"/>
      <c r="E15" s="38"/>
      <c r="F15" s="174"/>
      <c r="G15" s="175"/>
      <c r="H15" s="39"/>
      <c r="I15" s="40"/>
      <c r="J15" s="41"/>
      <c r="K15" s="42"/>
    </row>
    <row r="16" spans="1:11" ht="12.4" customHeight="1" x14ac:dyDescent="0.2">
      <c r="A16" s="36"/>
      <c r="B16" s="37"/>
      <c r="C16" s="172"/>
      <c r="D16" s="173"/>
      <c r="E16" s="38"/>
      <c r="F16" s="174"/>
      <c r="G16" s="175"/>
      <c r="H16" s="39"/>
      <c r="I16" s="40"/>
      <c r="J16" s="41"/>
      <c r="K16" s="42"/>
    </row>
    <row r="17" spans="1:11" ht="12.4" customHeight="1" x14ac:dyDescent="0.2">
      <c r="A17" s="36"/>
      <c r="B17" s="37"/>
      <c r="C17" s="172"/>
      <c r="D17" s="173"/>
      <c r="E17" s="38"/>
      <c r="F17" s="174"/>
      <c r="G17" s="175"/>
      <c r="H17" s="39"/>
      <c r="I17" s="40"/>
      <c r="J17" s="41"/>
      <c r="K17" s="42"/>
    </row>
    <row r="18" spans="1:11" ht="12.4" customHeight="1" x14ac:dyDescent="0.2">
      <c r="A18" s="36"/>
      <c r="B18" s="37"/>
      <c r="C18" s="172"/>
      <c r="D18" s="173"/>
      <c r="E18" s="38"/>
      <c r="F18" s="174"/>
      <c r="G18" s="175"/>
      <c r="H18" s="39"/>
      <c r="I18" s="40"/>
      <c r="J18" s="41"/>
      <c r="K18" s="42"/>
    </row>
    <row r="19" spans="1:11" ht="12.4" customHeight="1" x14ac:dyDescent="0.2">
      <c r="A19" s="36"/>
      <c r="B19" s="37"/>
      <c r="C19" s="172"/>
      <c r="D19" s="173"/>
      <c r="E19" s="38"/>
      <c r="F19" s="174"/>
      <c r="G19" s="175"/>
      <c r="H19" s="39"/>
      <c r="I19" s="40"/>
      <c r="J19" s="41"/>
      <c r="K19" s="42"/>
    </row>
    <row r="20" spans="1:11" ht="12.4" customHeight="1" x14ac:dyDescent="0.2">
      <c r="A20" s="36"/>
      <c r="B20" s="37"/>
      <c r="C20" s="172"/>
      <c r="D20" s="173"/>
      <c r="E20" s="38"/>
      <c r="F20" s="174"/>
      <c r="G20" s="175"/>
      <c r="H20" s="39"/>
      <c r="I20" s="40"/>
      <c r="J20" s="41"/>
      <c r="K20" s="42"/>
    </row>
    <row r="21" spans="1:11" ht="12.4" customHeight="1" x14ac:dyDescent="0.2">
      <c r="A21" s="36"/>
      <c r="B21" s="37"/>
      <c r="C21" s="172"/>
      <c r="D21" s="173"/>
      <c r="E21" s="38"/>
      <c r="F21" s="174"/>
      <c r="G21" s="175"/>
      <c r="H21" s="39"/>
      <c r="I21" s="40"/>
      <c r="J21" s="41"/>
      <c r="K21" s="42"/>
    </row>
    <row r="22" spans="1:11" ht="12.4" customHeight="1" x14ac:dyDescent="0.2">
      <c r="A22" s="36"/>
      <c r="B22" s="37"/>
      <c r="C22" s="172"/>
      <c r="D22" s="173"/>
      <c r="E22" s="38"/>
      <c r="F22" s="174"/>
      <c r="G22" s="175"/>
      <c r="H22" s="39"/>
      <c r="I22" s="40"/>
      <c r="J22" s="41"/>
      <c r="K22" s="42"/>
    </row>
    <row r="23" spans="1:11" ht="12.4" customHeight="1" x14ac:dyDescent="0.2">
      <c r="A23" s="36"/>
      <c r="B23" s="37"/>
      <c r="C23" s="172"/>
      <c r="D23" s="173"/>
      <c r="E23" s="38"/>
      <c r="F23" s="174"/>
      <c r="G23" s="175"/>
      <c r="H23" s="39"/>
      <c r="I23" s="40"/>
      <c r="J23" s="41"/>
      <c r="K23" s="42"/>
    </row>
    <row r="24" spans="1:11" ht="12.4" customHeight="1" x14ac:dyDescent="0.2">
      <c r="A24" s="36"/>
      <c r="B24" s="37"/>
      <c r="C24" s="172"/>
      <c r="D24" s="173"/>
      <c r="E24" s="38"/>
      <c r="F24" s="174"/>
      <c r="G24" s="175"/>
      <c r="H24" s="39"/>
      <c r="I24" s="40"/>
      <c r="J24" s="41"/>
      <c r="K24" s="42"/>
    </row>
    <row r="25" spans="1:11" ht="12.4" customHeight="1" x14ac:dyDescent="0.2">
      <c r="A25" s="36"/>
      <c r="B25" s="37"/>
      <c r="C25" s="172"/>
      <c r="D25" s="173"/>
      <c r="E25" s="38"/>
      <c r="F25" s="174"/>
      <c r="G25" s="175"/>
      <c r="H25" s="39"/>
      <c r="I25" s="40"/>
      <c r="J25" s="41"/>
      <c r="K25" s="42"/>
    </row>
    <row r="26" spans="1:11" ht="12.4" customHeight="1" x14ac:dyDescent="0.2">
      <c r="A26" s="36"/>
      <c r="B26" s="37"/>
      <c r="C26" s="172"/>
      <c r="D26" s="173"/>
      <c r="E26" s="38"/>
      <c r="F26" s="174"/>
      <c r="G26" s="175"/>
      <c r="H26" s="39"/>
      <c r="I26" s="40"/>
      <c r="J26" s="41"/>
      <c r="K26" s="42"/>
    </row>
    <row r="27" spans="1:11" ht="12.4" customHeight="1" x14ac:dyDescent="0.2">
      <c r="A27" s="36"/>
      <c r="B27" s="37"/>
      <c r="C27" s="172"/>
      <c r="D27" s="173"/>
      <c r="E27" s="38"/>
      <c r="F27" s="174"/>
      <c r="G27" s="175"/>
      <c r="H27" s="39"/>
      <c r="I27" s="40"/>
      <c r="J27" s="41"/>
      <c r="K27" s="42"/>
    </row>
    <row r="28" spans="1:11" ht="12.4" customHeight="1" x14ac:dyDescent="0.2">
      <c r="A28" s="36"/>
      <c r="B28" s="37"/>
      <c r="C28" s="172"/>
      <c r="D28" s="173"/>
      <c r="E28" s="38"/>
      <c r="F28" s="174"/>
      <c r="G28" s="175"/>
      <c r="H28" s="39"/>
      <c r="I28" s="40"/>
      <c r="J28" s="41"/>
      <c r="K28" s="42"/>
    </row>
    <row r="29" spans="1:11" ht="12.4" customHeight="1" x14ac:dyDescent="0.2">
      <c r="A29" s="36"/>
      <c r="B29" s="37"/>
      <c r="C29" s="172"/>
      <c r="D29" s="173"/>
      <c r="E29" s="38"/>
      <c r="F29" s="174"/>
      <c r="G29" s="175"/>
      <c r="H29" s="39"/>
      <c r="I29" s="40"/>
      <c r="J29" s="41"/>
      <c r="K29" s="42"/>
    </row>
    <row r="30" spans="1:11" ht="12.4" customHeight="1" x14ac:dyDescent="0.2">
      <c r="A30" s="36"/>
      <c r="B30" s="37"/>
      <c r="C30" s="172"/>
      <c r="D30" s="173"/>
      <c r="E30" s="38"/>
      <c r="F30" s="174"/>
      <c r="G30" s="175"/>
      <c r="H30" s="39"/>
      <c r="I30" s="40"/>
      <c r="J30" s="41"/>
      <c r="K30" s="42"/>
    </row>
    <row r="31" spans="1:11" ht="12.4" customHeight="1" x14ac:dyDescent="0.2">
      <c r="A31" s="36"/>
      <c r="B31" s="37"/>
      <c r="C31" s="172"/>
      <c r="D31" s="173"/>
      <c r="E31" s="38"/>
      <c r="F31" s="174"/>
      <c r="G31" s="175"/>
      <c r="H31" s="39"/>
      <c r="I31" s="40"/>
      <c r="J31" s="41"/>
      <c r="K31" s="42"/>
    </row>
    <row r="32" spans="1:11" ht="12.4" customHeight="1" x14ac:dyDescent="0.2">
      <c r="A32" s="36"/>
      <c r="B32" s="37"/>
      <c r="C32" s="172"/>
      <c r="D32" s="173"/>
      <c r="E32" s="38"/>
      <c r="F32" s="174"/>
      <c r="G32" s="175"/>
      <c r="H32" s="39"/>
      <c r="I32" s="40"/>
      <c r="J32" s="41"/>
      <c r="K32" s="42"/>
    </row>
    <row r="33" spans="1:11" ht="12.4" customHeight="1" x14ac:dyDescent="0.2">
      <c r="A33" s="36"/>
      <c r="B33" s="37"/>
      <c r="C33" s="172"/>
      <c r="D33" s="173"/>
      <c r="E33" s="38"/>
      <c r="F33" s="174"/>
      <c r="G33" s="175"/>
      <c r="H33" s="39"/>
      <c r="I33" s="40"/>
      <c r="J33" s="41"/>
      <c r="K33" s="42"/>
    </row>
    <row r="34" spans="1:11" ht="12.4" customHeight="1" x14ac:dyDescent="0.2">
      <c r="A34" s="36"/>
      <c r="B34" s="37"/>
      <c r="C34" s="172"/>
      <c r="D34" s="173"/>
      <c r="E34" s="38"/>
      <c r="F34" s="174"/>
      <c r="G34" s="175"/>
      <c r="H34" s="39"/>
      <c r="I34" s="40"/>
      <c r="J34" s="41"/>
      <c r="K34" s="42"/>
    </row>
    <row r="35" spans="1:11" ht="12.4" customHeight="1" x14ac:dyDescent="0.2">
      <c r="A35" s="36"/>
      <c r="B35" s="37"/>
      <c r="C35" s="172"/>
      <c r="D35" s="173"/>
      <c r="E35" s="38"/>
      <c r="F35" s="174"/>
      <c r="G35" s="175"/>
      <c r="H35" s="39"/>
      <c r="I35" s="40"/>
      <c r="J35" s="41"/>
      <c r="K35" s="42"/>
    </row>
    <row r="36" spans="1:11" ht="12.4" customHeight="1" x14ac:dyDescent="0.2">
      <c r="A36" s="36"/>
      <c r="B36" s="37"/>
      <c r="C36" s="172"/>
      <c r="D36" s="173"/>
      <c r="E36" s="38"/>
      <c r="F36" s="174"/>
      <c r="G36" s="175"/>
      <c r="H36" s="39"/>
      <c r="I36" s="40"/>
      <c r="J36" s="41"/>
      <c r="K36" s="42"/>
    </row>
    <row r="37" spans="1:11" ht="12.4" customHeight="1" x14ac:dyDescent="0.2">
      <c r="A37" s="36"/>
      <c r="B37" s="37"/>
      <c r="C37" s="172"/>
      <c r="D37" s="173"/>
      <c r="E37" s="38"/>
      <c r="F37" s="174"/>
      <c r="G37" s="175"/>
      <c r="H37" s="39"/>
      <c r="I37" s="40"/>
      <c r="J37" s="41"/>
      <c r="K37" s="42"/>
    </row>
    <row r="38" spans="1:11" ht="12.4" customHeight="1" x14ac:dyDescent="0.2">
      <c r="A38" s="36"/>
      <c r="B38" s="37"/>
      <c r="C38" s="172"/>
      <c r="D38" s="173"/>
      <c r="E38" s="38"/>
      <c r="F38" s="174"/>
      <c r="G38" s="175"/>
      <c r="H38" s="39"/>
      <c r="I38" s="40"/>
      <c r="J38" s="41"/>
      <c r="K38" s="42"/>
    </row>
    <row r="39" spans="1:11" ht="12.4" customHeight="1" x14ac:dyDescent="0.2">
      <c r="A39" s="36"/>
      <c r="B39" s="37"/>
      <c r="C39" s="172"/>
      <c r="D39" s="173"/>
      <c r="E39" s="38"/>
      <c r="F39" s="174"/>
      <c r="G39" s="175"/>
      <c r="H39" s="39"/>
      <c r="I39" s="40"/>
      <c r="J39" s="41"/>
      <c r="K39" s="42"/>
    </row>
    <row r="40" spans="1:11" ht="12.4" customHeight="1" x14ac:dyDescent="0.2">
      <c r="A40" s="36"/>
      <c r="B40" s="37"/>
      <c r="C40" s="172"/>
      <c r="D40" s="173"/>
      <c r="E40" s="38"/>
      <c r="F40" s="174"/>
      <c r="G40" s="175"/>
      <c r="H40" s="39"/>
      <c r="I40" s="40"/>
      <c r="J40" s="41"/>
      <c r="K40" s="42"/>
    </row>
    <row r="41" spans="1:11" ht="12.4" customHeight="1" x14ac:dyDescent="0.2">
      <c r="A41" s="36"/>
      <c r="B41" s="37"/>
      <c r="C41" s="172"/>
      <c r="D41" s="173"/>
      <c r="E41" s="38"/>
      <c r="F41" s="174"/>
      <c r="G41" s="175"/>
      <c r="H41" s="39"/>
      <c r="I41" s="40"/>
      <c r="J41" s="41"/>
      <c r="K41" s="42"/>
    </row>
    <row r="42" spans="1:11" ht="12.4" customHeight="1" x14ac:dyDescent="0.2">
      <c r="A42" s="36"/>
      <c r="B42" s="37"/>
      <c r="C42" s="172"/>
      <c r="D42" s="173"/>
      <c r="E42" s="38"/>
      <c r="F42" s="174"/>
      <c r="G42" s="175"/>
      <c r="H42" s="39"/>
      <c r="I42" s="40"/>
      <c r="J42" s="41"/>
      <c r="K42" s="42"/>
    </row>
    <row r="43" spans="1:11" ht="12.4" customHeight="1" x14ac:dyDescent="0.2">
      <c r="A43" s="36"/>
      <c r="B43" s="37"/>
      <c r="C43" s="172"/>
      <c r="D43" s="173"/>
      <c r="E43" s="38"/>
      <c r="F43" s="174"/>
      <c r="G43" s="175"/>
      <c r="H43" s="39"/>
      <c r="I43" s="40"/>
      <c r="J43" s="41"/>
      <c r="K43" s="42"/>
    </row>
    <row r="44" spans="1:11" ht="12.4" customHeight="1" x14ac:dyDescent="0.2">
      <c r="A44" s="36"/>
      <c r="B44" s="37"/>
      <c r="C44" s="172"/>
      <c r="D44" s="173"/>
      <c r="E44" s="38"/>
      <c r="F44" s="174"/>
      <c r="G44" s="175"/>
      <c r="H44" s="39"/>
      <c r="I44" s="40"/>
      <c r="J44" s="41"/>
      <c r="K44" s="42"/>
    </row>
    <row r="45" spans="1:11" ht="12.4" customHeight="1" x14ac:dyDescent="0.2">
      <c r="A45" s="36"/>
      <c r="B45" s="37"/>
      <c r="C45" s="172"/>
      <c r="D45" s="173"/>
      <c r="E45" s="38"/>
      <c r="F45" s="174"/>
      <c r="G45" s="175"/>
      <c r="H45" s="39"/>
      <c r="I45" s="40"/>
      <c r="J45" s="41"/>
      <c r="K45" s="42"/>
    </row>
    <row r="46" spans="1:11" ht="12.4" customHeight="1" x14ac:dyDescent="0.2">
      <c r="A46" s="36"/>
      <c r="B46" s="37"/>
      <c r="C46" s="172"/>
      <c r="D46" s="173"/>
      <c r="E46" s="38"/>
      <c r="F46" s="174"/>
      <c r="G46" s="175"/>
      <c r="H46" s="39"/>
      <c r="I46" s="40"/>
      <c r="J46" s="41"/>
      <c r="K46" s="42"/>
    </row>
    <row r="47" spans="1:11" ht="12.4" customHeight="1" x14ac:dyDescent="0.2">
      <c r="A47" s="36"/>
      <c r="B47" s="37"/>
      <c r="C47" s="172"/>
      <c r="D47" s="173"/>
      <c r="E47" s="38"/>
      <c r="F47" s="174"/>
      <c r="G47" s="175"/>
      <c r="H47" s="39"/>
      <c r="I47" s="40"/>
      <c r="J47" s="41"/>
      <c r="K47" s="42"/>
    </row>
    <row r="48" spans="1:11" ht="12.4" customHeight="1" x14ac:dyDescent="0.2">
      <c r="A48" s="36"/>
      <c r="B48" s="37"/>
      <c r="C48" s="172"/>
      <c r="D48" s="173"/>
      <c r="E48" s="38"/>
      <c r="F48" s="174"/>
      <c r="G48" s="175"/>
      <c r="H48" s="39"/>
      <c r="I48" s="40"/>
      <c r="J48" s="41"/>
      <c r="K48" s="42"/>
    </row>
    <row r="49" spans="1:11" ht="12.4" customHeight="1" x14ac:dyDescent="0.2">
      <c r="A49" s="36"/>
      <c r="B49" s="37"/>
      <c r="C49" s="172"/>
      <c r="D49" s="173"/>
      <c r="E49" s="38"/>
      <c r="F49" s="174"/>
      <c r="G49" s="175"/>
      <c r="H49" s="39"/>
      <c r="I49" s="40"/>
      <c r="J49" s="41"/>
      <c r="K49" s="42"/>
    </row>
    <row r="50" spans="1:11" ht="12.4" customHeight="1" x14ac:dyDescent="0.2">
      <c r="A50" s="36"/>
      <c r="B50" s="37"/>
      <c r="C50" s="172"/>
      <c r="D50" s="173"/>
      <c r="E50" s="38"/>
      <c r="F50" s="174"/>
      <c r="G50" s="175"/>
      <c r="H50" s="39"/>
      <c r="I50" s="40"/>
      <c r="J50" s="41"/>
      <c r="K50" s="42"/>
    </row>
    <row r="51" spans="1:11" ht="12.4" customHeight="1" x14ac:dyDescent="0.2">
      <c r="A51" s="36"/>
      <c r="B51" s="37"/>
      <c r="C51" s="172"/>
      <c r="D51" s="173"/>
      <c r="E51" s="38"/>
      <c r="F51" s="174"/>
      <c r="G51" s="175"/>
      <c r="H51" s="39"/>
      <c r="I51" s="40"/>
      <c r="J51" s="41"/>
      <c r="K51" s="42"/>
    </row>
  </sheetData>
  <mergeCells count="102">
    <mergeCell ref="C1:D1"/>
    <mergeCell ref="F1:G1"/>
    <mergeCell ref="C2:D2"/>
    <mergeCell ref="F2:G2"/>
    <mergeCell ref="C3:D3"/>
    <mergeCell ref="F3:G3"/>
    <mergeCell ref="C7:D7"/>
    <mergeCell ref="F7:G7"/>
    <mergeCell ref="C8:D8"/>
    <mergeCell ref="F8:G8"/>
    <mergeCell ref="C9:D9"/>
    <mergeCell ref="F9:G9"/>
    <mergeCell ref="C4:D4"/>
    <mergeCell ref="F4:G4"/>
    <mergeCell ref="C5:D5"/>
    <mergeCell ref="F5:G5"/>
    <mergeCell ref="C6:D6"/>
    <mergeCell ref="F6:G6"/>
    <mergeCell ref="C13:D13"/>
    <mergeCell ref="F13:G13"/>
    <mergeCell ref="C14:D14"/>
    <mergeCell ref="F14:G14"/>
    <mergeCell ref="C15:D15"/>
    <mergeCell ref="F15:G15"/>
    <mergeCell ref="C10:D10"/>
    <mergeCell ref="F10:G10"/>
    <mergeCell ref="C11:D11"/>
    <mergeCell ref="F11:G11"/>
    <mergeCell ref="C12:D12"/>
    <mergeCell ref="F12:G12"/>
    <mergeCell ref="C19:D19"/>
    <mergeCell ref="F19:G19"/>
    <mergeCell ref="C20:D20"/>
    <mergeCell ref="F20:G20"/>
    <mergeCell ref="C21:D21"/>
    <mergeCell ref="F21:G21"/>
    <mergeCell ref="C16:D16"/>
    <mergeCell ref="F16:G16"/>
    <mergeCell ref="C17:D17"/>
    <mergeCell ref="F17:G17"/>
    <mergeCell ref="C18:D18"/>
    <mergeCell ref="F18:G18"/>
    <mergeCell ref="C25:D25"/>
    <mergeCell ref="F25:G25"/>
    <mergeCell ref="C26:D26"/>
    <mergeCell ref="F26:G26"/>
    <mergeCell ref="C27:D27"/>
    <mergeCell ref="F27:G27"/>
    <mergeCell ref="C22:D22"/>
    <mergeCell ref="F22:G22"/>
    <mergeCell ref="C23:D23"/>
    <mergeCell ref="F23:G23"/>
    <mergeCell ref="C24:D24"/>
    <mergeCell ref="F24:G24"/>
    <mergeCell ref="C31:D31"/>
    <mergeCell ref="F31:G31"/>
    <mergeCell ref="C32:D32"/>
    <mergeCell ref="F32:G32"/>
    <mergeCell ref="C33:D33"/>
    <mergeCell ref="F33:G33"/>
    <mergeCell ref="C28:D28"/>
    <mergeCell ref="F28:G28"/>
    <mergeCell ref="C29:D29"/>
    <mergeCell ref="F29:G29"/>
    <mergeCell ref="C30:D30"/>
    <mergeCell ref="F30:G30"/>
    <mergeCell ref="C37:D37"/>
    <mergeCell ref="F37:G37"/>
    <mergeCell ref="C38:D38"/>
    <mergeCell ref="F38:G38"/>
    <mergeCell ref="C39:D39"/>
    <mergeCell ref="F39:G39"/>
    <mergeCell ref="C34:D34"/>
    <mergeCell ref="F34:G34"/>
    <mergeCell ref="C35:D35"/>
    <mergeCell ref="F35:G35"/>
    <mergeCell ref="C36:D36"/>
    <mergeCell ref="F36:G36"/>
    <mergeCell ref="C43:D43"/>
    <mergeCell ref="F43:G43"/>
    <mergeCell ref="C44:D44"/>
    <mergeCell ref="F44:G44"/>
    <mergeCell ref="C45:D45"/>
    <mergeCell ref="F45:G45"/>
    <mergeCell ref="C40:D40"/>
    <mergeCell ref="F40:G40"/>
    <mergeCell ref="C41:D41"/>
    <mergeCell ref="F41:G41"/>
    <mergeCell ref="C42:D42"/>
    <mergeCell ref="F42:G42"/>
    <mergeCell ref="C49:D49"/>
    <mergeCell ref="F49:G49"/>
    <mergeCell ref="C50:D50"/>
    <mergeCell ref="F50:G50"/>
    <mergeCell ref="C51:D51"/>
    <mergeCell ref="F51:G51"/>
    <mergeCell ref="C46:D46"/>
    <mergeCell ref="F46:G46"/>
    <mergeCell ref="C47:D47"/>
    <mergeCell ref="F47:G47"/>
    <mergeCell ref="C48:D48"/>
    <mergeCell ref="F48:G48"/>
  </mergeCells>
  <pageMargins left="0.7" right="0.7" top="0.75" bottom="0.75" header="0.3" footer="0.3"/>
  <pageSetup scale="75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6ACB5-BD77-4CDF-8EAE-9A7280C67D07}">
  <sheetPr codeName="Sheet9"/>
  <dimension ref="A1:N37"/>
  <sheetViews>
    <sheetView workbookViewId="0">
      <selection activeCell="I47" sqref="I47"/>
    </sheetView>
  </sheetViews>
  <sheetFormatPr defaultRowHeight="12.75" x14ac:dyDescent="0.2"/>
  <cols>
    <col min="1" max="1" width="37.5703125" customWidth="1"/>
  </cols>
  <sheetData>
    <row r="1" spans="1:14" ht="13.5" thickBot="1" x14ac:dyDescent="0.25">
      <c r="A1" s="62" t="s">
        <v>120</v>
      </c>
      <c r="C1" t="str">
        <f>_xlfn.CONCAT("Public ", A1," As String")</f>
        <v>Public BillToCustomerName As String</v>
      </c>
      <c r="H1" t="str">
        <f>_xlfn.CONCAT("o.Customer.",A1,"= Range('A' &amp; i)")</f>
        <v>o.Customer.BillToCustomerName= Range('A' &amp; i)</v>
      </c>
      <c r="N1" t="str">
        <f>_xlfn.CONCAT("Serial.",A1)</f>
        <v>Serial.BillToCustomerName</v>
      </c>
    </row>
    <row r="2" spans="1:14" ht="13.5" thickBot="1" x14ac:dyDescent="0.25">
      <c r="A2" s="62" t="s">
        <v>121</v>
      </c>
      <c r="C2" t="str">
        <f t="shared" ref="C2:C37" si="0">_xlfn.CONCAT("Public ", A2," As String")</f>
        <v>Public BillToAddress As String</v>
      </c>
      <c r="H2" t="str">
        <f t="shared" ref="H2:H37" si="1">_xlfn.CONCAT("o.Customer.",A2,"= Range('A' &amp; i)")</f>
        <v>o.Customer.BillToAddress= Range('A' &amp; i)</v>
      </c>
      <c r="N2" t="str">
        <f t="shared" ref="N2:N37" si="2">_xlfn.CONCAT("Serial.",A2)</f>
        <v>Serial.BillToAddress</v>
      </c>
    </row>
    <row r="3" spans="1:14" ht="13.5" thickBot="1" x14ac:dyDescent="0.25">
      <c r="A3" s="63" t="s">
        <v>122</v>
      </c>
      <c r="C3" t="str">
        <f t="shared" si="0"/>
        <v>Public BillToTown As String</v>
      </c>
      <c r="H3" t="str">
        <f t="shared" si="1"/>
        <v>o.Customer.BillToTown= Range('A' &amp; i)</v>
      </c>
      <c r="N3" t="str">
        <f t="shared" si="2"/>
        <v>Serial.BillToTown</v>
      </c>
    </row>
    <row r="4" spans="1:14" ht="13.5" thickBot="1" x14ac:dyDescent="0.25">
      <c r="A4" s="63" t="s">
        <v>123</v>
      </c>
      <c r="C4" t="str">
        <f t="shared" si="0"/>
        <v>Public BillToState As String</v>
      </c>
      <c r="H4" t="str">
        <f t="shared" si="1"/>
        <v>o.Customer.BillToState= Range('A' &amp; i)</v>
      </c>
      <c r="N4" t="str">
        <f t="shared" si="2"/>
        <v>Serial.BillToState</v>
      </c>
    </row>
    <row r="5" spans="1:14" ht="13.5" thickBot="1" x14ac:dyDescent="0.25">
      <c r="A5" s="63" t="s">
        <v>124</v>
      </c>
      <c r="C5" t="str">
        <f t="shared" si="0"/>
        <v>Public BillToZipCode As String</v>
      </c>
      <c r="H5" t="str">
        <f t="shared" si="1"/>
        <v>o.Customer.BillToZipCode= Range('A' &amp; i)</v>
      </c>
      <c r="N5" t="str">
        <f t="shared" si="2"/>
        <v>Serial.BillToZipCode</v>
      </c>
    </row>
    <row r="6" spans="1:14" ht="13.5" thickBot="1" x14ac:dyDescent="0.25">
      <c r="A6" s="63" t="s">
        <v>125</v>
      </c>
      <c r="C6" t="str">
        <f t="shared" si="0"/>
        <v>Public BillToContactName As String</v>
      </c>
      <c r="H6" t="str">
        <f t="shared" si="1"/>
        <v>o.Customer.BillToContactName= Range('A' &amp; i)</v>
      </c>
      <c r="N6" t="str">
        <f t="shared" si="2"/>
        <v>Serial.BillToContactName</v>
      </c>
    </row>
    <row r="7" spans="1:14" ht="13.5" thickBot="1" x14ac:dyDescent="0.25">
      <c r="A7" s="63" t="s">
        <v>126</v>
      </c>
      <c r="C7" t="str">
        <f t="shared" si="0"/>
        <v>Public BillToPhoneNumber As String</v>
      </c>
      <c r="H7" t="str">
        <f t="shared" si="1"/>
        <v>o.Customer.BillToPhoneNumber= Range('A' &amp; i)</v>
      </c>
      <c r="N7" t="str">
        <f t="shared" si="2"/>
        <v>Serial.BillToPhoneNumber</v>
      </c>
    </row>
    <row r="8" spans="1:14" ht="13.5" thickBot="1" x14ac:dyDescent="0.25">
      <c r="A8" s="63" t="s">
        <v>127</v>
      </c>
      <c r="C8" t="str">
        <f t="shared" si="0"/>
        <v>Public BillToFaxNumber As String</v>
      </c>
      <c r="H8" t="str">
        <f t="shared" si="1"/>
        <v>o.Customer.BillToFaxNumber= Range('A' &amp; i)</v>
      </c>
      <c r="N8" t="str">
        <f t="shared" si="2"/>
        <v>Serial.BillToFaxNumber</v>
      </c>
    </row>
    <row r="9" spans="1:14" ht="13.5" thickBot="1" x14ac:dyDescent="0.25">
      <c r="A9" s="63" t="s">
        <v>128</v>
      </c>
      <c r="C9" t="str">
        <f t="shared" si="0"/>
        <v>Public BillToEmail As String</v>
      </c>
      <c r="H9" t="str">
        <f t="shared" si="1"/>
        <v>o.Customer.BillToEmail= Range('A' &amp; i)</v>
      </c>
      <c r="N9" t="str">
        <f t="shared" si="2"/>
        <v>Serial.BillToEmail</v>
      </c>
    </row>
    <row r="10" spans="1:14" ht="13.5" thickBot="1" x14ac:dyDescent="0.25">
      <c r="A10" s="64" t="s">
        <v>129</v>
      </c>
      <c r="C10" t="str">
        <f t="shared" si="0"/>
        <v>Public ShipToCustomerName As String</v>
      </c>
      <c r="H10" t="str">
        <f t="shared" si="1"/>
        <v>o.Customer.ShipToCustomerName= Range('A' &amp; i)</v>
      </c>
      <c r="N10" t="str">
        <f t="shared" si="2"/>
        <v>Serial.ShipToCustomerName</v>
      </c>
    </row>
    <row r="11" spans="1:14" ht="13.5" thickBot="1" x14ac:dyDescent="0.25">
      <c r="A11" s="64" t="s">
        <v>130</v>
      </c>
      <c r="C11" t="str">
        <f t="shared" si="0"/>
        <v>Public ShipToAddress As String</v>
      </c>
      <c r="H11" t="str">
        <f t="shared" si="1"/>
        <v>o.Customer.ShipToAddress= Range('A' &amp; i)</v>
      </c>
      <c r="N11" t="str">
        <f t="shared" si="2"/>
        <v>Serial.ShipToAddress</v>
      </c>
    </row>
    <row r="12" spans="1:14" ht="13.5" thickBot="1" x14ac:dyDescent="0.25">
      <c r="A12" s="65" t="s">
        <v>131</v>
      </c>
      <c r="C12" t="str">
        <f t="shared" si="0"/>
        <v>Public ShipToTown As String</v>
      </c>
      <c r="H12" t="str">
        <f t="shared" si="1"/>
        <v>o.Customer.ShipToTown= Range('A' &amp; i)</v>
      </c>
      <c r="N12" t="str">
        <f t="shared" si="2"/>
        <v>Serial.ShipToTown</v>
      </c>
    </row>
    <row r="13" spans="1:14" ht="13.5" thickBot="1" x14ac:dyDescent="0.25">
      <c r="A13" s="65" t="s">
        <v>132</v>
      </c>
      <c r="C13" t="str">
        <f t="shared" si="0"/>
        <v>Public ShipToState As String</v>
      </c>
      <c r="H13" t="str">
        <f t="shared" si="1"/>
        <v>o.Customer.ShipToState= Range('A' &amp; i)</v>
      </c>
      <c r="N13" t="str">
        <f t="shared" si="2"/>
        <v>Serial.ShipToState</v>
      </c>
    </row>
    <row r="14" spans="1:14" ht="13.5" thickBot="1" x14ac:dyDescent="0.25">
      <c r="A14" s="65" t="s">
        <v>133</v>
      </c>
      <c r="C14" t="str">
        <f t="shared" si="0"/>
        <v>Public ShipToZipCode As String</v>
      </c>
      <c r="H14" t="str">
        <f t="shared" si="1"/>
        <v>o.Customer.ShipToZipCode= Range('A' &amp; i)</v>
      </c>
      <c r="N14" t="str">
        <f t="shared" si="2"/>
        <v>Serial.ShipToZipCode</v>
      </c>
    </row>
    <row r="15" spans="1:14" ht="13.5" thickBot="1" x14ac:dyDescent="0.25">
      <c r="A15" s="65" t="s">
        <v>134</v>
      </c>
      <c r="C15" t="str">
        <f t="shared" si="0"/>
        <v>Public ShipToContactName As String</v>
      </c>
      <c r="H15" t="str">
        <f t="shared" si="1"/>
        <v>o.Customer.ShipToContactName= Range('A' &amp; i)</v>
      </c>
      <c r="N15" t="str">
        <f t="shared" si="2"/>
        <v>Serial.ShipToContactName</v>
      </c>
    </row>
    <row r="16" spans="1:14" ht="13.5" thickBot="1" x14ac:dyDescent="0.25">
      <c r="A16" s="65" t="s">
        <v>135</v>
      </c>
      <c r="C16" t="str">
        <f t="shared" si="0"/>
        <v>Public ShipToPhoneNumber As String</v>
      </c>
      <c r="H16" t="str">
        <f t="shared" si="1"/>
        <v>o.Customer.ShipToPhoneNumber= Range('A' &amp; i)</v>
      </c>
      <c r="N16" t="str">
        <f t="shared" si="2"/>
        <v>Serial.ShipToPhoneNumber</v>
      </c>
    </row>
    <row r="17" spans="1:14" ht="13.5" thickBot="1" x14ac:dyDescent="0.25">
      <c r="A17" s="65" t="s">
        <v>136</v>
      </c>
      <c r="C17" t="str">
        <f t="shared" si="0"/>
        <v>Public ShipToFaxNumber As String</v>
      </c>
      <c r="H17" t="str">
        <f t="shared" si="1"/>
        <v>o.Customer.ShipToFaxNumber= Range('A' &amp; i)</v>
      </c>
      <c r="N17" t="str">
        <f t="shared" si="2"/>
        <v>Serial.ShipToFaxNumber</v>
      </c>
    </row>
    <row r="18" spans="1:14" ht="13.5" thickBot="1" x14ac:dyDescent="0.25">
      <c r="A18" s="65" t="s">
        <v>137</v>
      </c>
      <c r="C18" t="str">
        <f t="shared" si="0"/>
        <v>Public ShipToEmail As String</v>
      </c>
      <c r="H18" t="str">
        <f t="shared" si="1"/>
        <v>o.Customer.ShipToEmail= Range('A' &amp; i)</v>
      </c>
      <c r="N18" t="str">
        <f t="shared" si="2"/>
        <v>Serial.ShipToEmail</v>
      </c>
    </row>
    <row r="19" spans="1:14" ht="13.5" thickBot="1" x14ac:dyDescent="0.25">
      <c r="A19" s="65" t="s">
        <v>138</v>
      </c>
      <c r="C19" t="str">
        <f t="shared" si="0"/>
        <v>Public ContractAwardNumber As String</v>
      </c>
      <c r="H19" t="str">
        <f t="shared" si="1"/>
        <v>o.Customer.ContractAwardNumber= Range('A' &amp; i)</v>
      </c>
      <c r="N19" t="str">
        <f t="shared" si="2"/>
        <v>Serial.ContractAwardNumber</v>
      </c>
    </row>
    <row r="20" spans="1:14" ht="13.5" thickBot="1" x14ac:dyDescent="0.25">
      <c r="A20" s="66" t="s">
        <v>139</v>
      </c>
      <c r="C20" t="str">
        <f t="shared" si="0"/>
        <v>Public POPStartDate As String</v>
      </c>
      <c r="H20" t="str">
        <f t="shared" si="1"/>
        <v>o.Customer.POPStartDate= Range('A' &amp; i)</v>
      </c>
      <c r="N20" t="str">
        <f t="shared" si="2"/>
        <v>Serial.POPStartDate</v>
      </c>
    </row>
    <row r="21" spans="1:14" ht="13.5" thickBot="1" x14ac:dyDescent="0.25">
      <c r="A21" s="66" t="s">
        <v>140</v>
      </c>
      <c r="C21" t="str">
        <f t="shared" si="0"/>
        <v>Public POPEndDate As String</v>
      </c>
      <c r="H21" t="str">
        <f t="shared" si="1"/>
        <v>o.Customer.POPEndDate= Range('A' &amp; i)</v>
      </c>
      <c r="N21" t="str">
        <f t="shared" si="2"/>
        <v>Serial.POPEndDate</v>
      </c>
    </row>
    <row r="22" spans="1:14" ht="13.5" thickBot="1" x14ac:dyDescent="0.25">
      <c r="A22" s="67" t="s">
        <v>141</v>
      </c>
      <c r="C22" t="str">
        <f t="shared" si="0"/>
        <v>Public QuoteInfoEmailAddress As String</v>
      </c>
      <c r="H22" t="str">
        <f t="shared" si="1"/>
        <v>o.Customer.QuoteInfoEmailAddress= Range('A' &amp; i)</v>
      </c>
      <c r="N22" t="str">
        <f t="shared" si="2"/>
        <v>Serial.QuoteInfoEmailAddress</v>
      </c>
    </row>
    <row r="23" spans="1:14" ht="13.5" thickBot="1" x14ac:dyDescent="0.25">
      <c r="A23" s="68" t="s">
        <v>142</v>
      </c>
      <c r="C23" t="str">
        <f t="shared" si="0"/>
        <v>Public QuoteInfoBillerFirstName As String</v>
      </c>
      <c r="H23" t="str">
        <f t="shared" si="1"/>
        <v>o.Customer.QuoteInfoBillerFirstName= Range('A' &amp; i)</v>
      </c>
      <c r="N23" t="str">
        <f t="shared" si="2"/>
        <v>Serial.QuoteInfoBillerFirstName</v>
      </c>
    </row>
    <row r="24" spans="1:14" ht="13.5" thickBot="1" x14ac:dyDescent="0.25">
      <c r="A24" s="68" t="s">
        <v>143</v>
      </c>
      <c r="C24" t="str">
        <f t="shared" si="0"/>
        <v>Public QuoteInfoBillerLastName As String</v>
      </c>
      <c r="H24" t="str">
        <f t="shared" si="1"/>
        <v>o.Customer.QuoteInfoBillerLastName= Range('A' &amp; i)</v>
      </c>
      <c r="N24" t="str">
        <f t="shared" si="2"/>
        <v>Serial.QuoteInfoBillerLastName</v>
      </c>
    </row>
    <row r="25" spans="1:14" ht="13.5" thickBot="1" x14ac:dyDescent="0.25">
      <c r="A25" s="68" t="s">
        <v>144</v>
      </c>
      <c r="C25" t="str">
        <f t="shared" si="0"/>
        <v>Public QuoteInfoDate As String</v>
      </c>
      <c r="H25" t="str">
        <f t="shared" si="1"/>
        <v>o.Customer.QuoteInfoDate= Range('A' &amp; i)</v>
      </c>
      <c r="N25" t="str">
        <f t="shared" si="2"/>
        <v>Serial.QuoteInfoDate</v>
      </c>
    </row>
    <row r="26" spans="1:14" ht="13.5" thickBot="1" x14ac:dyDescent="0.25">
      <c r="A26" s="68" t="s">
        <v>145</v>
      </c>
      <c r="C26" t="str">
        <f t="shared" si="0"/>
        <v>Public QuoteInfoAppendix* As String</v>
      </c>
      <c r="H26" t="str">
        <f t="shared" si="1"/>
        <v>o.Customer.QuoteInfoAppendix*= Range('A' &amp; i)</v>
      </c>
      <c r="N26" t="str">
        <f t="shared" si="2"/>
        <v>Serial.QuoteInfoAppendix*</v>
      </c>
    </row>
    <row r="27" spans="1:14" ht="13.5" thickBot="1" x14ac:dyDescent="0.25">
      <c r="A27" s="68" t="s">
        <v>146</v>
      </c>
      <c r="C27" t="str">
        <f t="shared" si="0"/>
        <v>Public QuoteInfoBillersManagerName As String</v>
      </c>
      <c r="H27" t="str">
        <f t="shared" si="1"/>
        <v>o.Customer.QuoteInfoBillersManagerName= Range('A' &amp; i)</v>
      </c>
      <c r="N27" t="str">
        <f t="shared" si="2"/>
        <v>Serial.QuoteInfoBillersManagerName</v>
      </c>
    </row>
    <row r="28" spans="1:14" ht="13.5" thickBot="1" x14ac:dyDescent="0.25">
      <c r="A28" s="68" t="s">
        <v>147</v>
      </c>
      <c r="C28" t="str">
        <f t="shared" si="0"/>
        <v>Public QuoteInfoQuoteNumber As String</v>
      </c>
      <c r="H28" t="str">
        <f t="shared" si="1"/>
        <v>o.Customer.QuoteInfoQuoteNumber= Range('A' &amp; i)</v>
      </c>
      <c r="N28" t="str">
        <f t="shared" si="2"/>
        <v>Serial.QuoteInfoQuoteNumber</v>
      </c>
    </row>
    <row r="29" spans="1:14" ht="13.5" thickBot="1" x14ac:dyDescent="0.25">
      <c r="A29" s="69" t="s">
        <v>148</v>
      </c>
      <c r="C29" t="str">
        <f t="shared" si="0"/>
        <v>Public MeterAdmin As String</v>
      </c>
      <c r="H29" t="str">
        <f t="shared" si="1"/>
        <v>o.Customer.MeterAdmin= Range('A' &amp; i)</v>
      </c>
      <c r="N29" t="str">
        <f t="shared" si="2"/>
        <v>Serial.MeterAdmin</v>
      </c>
    </row>
    <row r="30" spans="1:14" ht="13.5" thickBot="1" x14ac:dyDescent="0.25">
      <c r="A30" s="70" t="s">
        <v>22</v>
      </c>
      <c r="C30" t="str">
        <f t="shared" si="0"/>
        <v>Public Model As String</v>
      </c>
      <c r="H30" t="str">
        <f t="shared" si="1"/>
        <v>o.Customer.Model= Range('A' &amp; i)</v>
      </c>
      <c r="N30" t="str">
        <f t="shared" si="2"/>
        <v>Serial.Model</v>
      </c>
    </row>
    <row r="31" spans="1:14" ht="13.5" thickBot="1" x14ac:dyDescent="0.25">
      <c r="A31" s="70" t="s">
        <v>24</v>
      </c>
      <c r="C31" t="str">
        <f t="shared" si="0"/>
        <v>Public Serial# As String</v>
      </c>
      <c r="H31" t="str">
        <f t="shared" si="1"/>
        <v>o.Customer.Serial#= Range('A' &amp; i)</v>
      </c>
      <c r="N31" t="str">
        <f t="shared" si="2"/>
        <v>Serial.Serial#</v>
      </c>
    </row>
    <row r="32" spans="1:14" ht="13.5" thickBot="1" x14ac:dyDescent="0.25">
      <c r="A32" s="70" t="s">
        <v>25</v>
      </c>
      <c r="C32" t="str">
        <f t="shared" si="0"/>
        <v>Public Contract# As String</v>
      </c>
      <c r="H32" t="str">
        <f t="shared" si="1"/>
        <v>o.Customer.Contract#= Range('A' &amp; i)</v>
      </c>
      <c r="N32" t="str">
        <f t="shared" si="2"/>
        <v>Serial.Contract#</v>
      </c>
    </row>
    <row r="33" spans="1:14" ht="13.5" thickBot="1" x14ac:dyDescent="0.25">
      <c r="A33" s="71" t="s">
        <v>149</v>
      </c>
      <c r="C33" t="str">
        <f t="shared" si="0"/>
        <v>Public MABase As String</v>
      </c>
      <c r="H33" t="str">
        <f t="shared" si="1"/>
        <v>o.Customer.MABase= Range('A' &amp; i)</v>
      </c>
      <c r="N33" t="str">
        <f t="shared" si="2"/>
        <v>Serial.MABase</v>
      </c>
    </row>
    <row r="34" spans="1:14" ht="13.5" thickBot="1" x14ac:dyDescent="0.25">
      <c r="A34" s="71" t="s">
        <v>150</v>
      </c>
      <c r="C34" t="str">
        <f t="shared" si="0"/>
        <v>Public RentalBase As String</v>
      </c>
      <c r="H34" t="str">
        <f t="shared" si="1"/>
        <v>o.Customer.RentalBase= Range('A' &amp; i)</v>
      </c>
      <c r="N34" t="str">
        <f t="shared" si="2"/>
        <v>Serial.RentalBase</v>
      </c>
    </row>
    <row r="35" spans="1:14" ht="13.5" thickBot="1" x14ac:dyDescent="0.25">
      <c r="A35" s="70" t="s">
        <v>75</v>
      </c>
      <c r="C35" t="str">
        <f t="shared" si="0"/>
        <v>Public Allowance As String</v>
      </c>
      <c r="H35" t="str">
        <f t="shared" si="1"/>
        <v>o.Customer.Allowance= Range('A' &amp; i)</v>
      </c>
      <c r="N35" t="str">
        <f t="shared" si="2"/>
        <v>Serial.Allowance</v>
      </c>
    </row>
    <row r="36" spans="1:14" ht="13.5" thickBot="1" x14ac:dyDescent="0.25">
      <c r="A36" s="72" t="s">
        <v>76</v>
      </c>
      <c r="C36" t="str">
        <f t="shared" si="0"/>
        <v>Public Meter As String</v>
      </c>
      <c r="H36" t="str">
        <f t="shared" si="1"/>
        <v>o.Customer.Meter= Range('A' &amp; i)</v>
      </c>
      <c r="N36" t="str">
        <f t="shared" si="2"/>
        <v>Serial.Meter</v>
      </c>
    </row>
    <row r="37" spans="1:14" ht="13.5" thickBot="1" x14ac:dyDescent="0.25">
      <c r="A37" s="72" t="s">
        <v>151</v>
      </c>
      <c r="C37" t="str">
        <f t="shared" si="0"/>
        <v>Public OverageRate As String</v>
      </c>
      <c r="H37" t="str">
        <f t="shared" si="1"/>
        <v>o.Customer.OverageRate= Range('A' &amp; i)</v>
      </c>
      <c r="N37" t="str">
        <f t="shared" si="2"/>
        <v>Serial.OverageRate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CC6E903F4FC1459ED4A2FA67DD9445" ma:contentTypeVersion="2" ma:contentTypeDescription="Create a new document." ma:contentTypeScope="" ma:versionID="1d85b374f40a45b63f15b5c939f903d7">
  <xsd:schema xmlns:xsd="http://www.w3.org/2001/XMLSchema" xmlns:xs="http://www.w3.org/2001/XMLSchema" xmlns:p="http://schemas.microsoft.com/office/2006/metadata/properties" xmlns:ns2="1379224d-3cb6-4d30-a7f3-fa74677293fe" targetNamespace="http://schemas.microsoft.com/office/2006/metadata/properties" ma:root="true" ma:fieldsID="87272219b54fb95104458569fc0f6b39" ns2:_="">
    <xsd:import namespace="1379224d-3cb6-4d30-a7f3-fa74677293f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79224d-3cb6-4d30-a7f3-fa74677293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03F379-CB20-4DDD-A4A1-7DD27A5B1B28}">
  <ds:schemaRefs>
    <ds:schemaRef ds:uri="http://purl.org/dc/terms/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1379224d-3cb6-4d30-a7f3-fa74677293f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DDE2A8D-67E5-421C-89B6-97A7ACAA4B4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9AD2E57-6247-42B8-A203-72E647443D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79224d-3cb6-4d30-a7f3-fa74677293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Run Merge Buttons</vt:lpstr>
      <vt:lpstr>Data Entry</vt:lpstr>
      <vt:lpstr>New CC Form</vt:lpstr>
      <vt:lpstr>New Quote Form</vt:lpstr>
      <vt:lpstr>Quote Overflow Page</vt:lpstr>
      <vt:lpstr>Sheet1</vt:lpstr>
      <vt:lpstr>'New Quote Form'!Print_Area</vt:lpstr>
      <vt:lpstr>'Quote Overflow Page'!Print_Area</vt:lpstr>
    </vt:vector>
  </TitlesOfParts>
  <Manager/>
  <Company>Ricoh Corp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Josh Jones</cp:lastModifiedBy>
  <cp:revision/>
  <cp:lastPrinted>2024-01-11T18:03:38Z</cp:lastPrinted>
  <dcterms:created xsi:type="dcterms:W3CDTF">2009-06-03T18:08:50Z</dcterms:created>
  <dcterms:modified xsi:type="dcterms:W3CDTF">2024-01-11T18:38:44Z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sync_ServerID">
    <vt:lpwstr>b8eac5d7-1030-4369-bf65-2e90c0469691</vt:lpwstr>
  </property>
  <property fmtid="{D5CDD505-2E9C-101B-9397-08002B2CF9AE}" pid="3" name="Offisync_UniqueId">
    <vt:lpwstr>576280</vt:lpwstr>
  </property>
  <property fmtid="{D5CDD505-2E9C-101B-9397-08002B2CF9AE}" pid="4" name="Offisync_UpdateToken">
    <vt:lpwstr>4</vt:lpwstr>
  </property>
  <property fmtid="{D5CDD505-2E9C-101B-9397-08002B2CF9AE}" pid="5" name="Jive_LatestUserAccountName">
    <vt:lpwstr>Sheryl.Jackson@ricoh-usa.com</vt:lpwstr>
  </property>
  <property fmtid="{D5CDD505-2E9C-101B-9397-08002B2CF9AE}" pid="6" name="Jive_VersionGuid">
    <vt:lpwstr>564ebb62-f983-4ad6-b431-6f27dc7738bd</vt:lpwstr>
  </property>
  <property fmtid="{D5CDD505-2E9C-101B-9397-08002B2CF9AE}" pid="7" name="Offisync_ProviderInitializationData">
    <vt:lpwstr>https://rworld.ricoh-usa.com</vt:lpwstr>
  </property>
  <property fmtid="{D5CDD505-2E9C-101B-9397-08002B2CF9AE}" pid="8" name="Jive_ModifiedButNotPublished">
    <vt:lpwstr>True</vt:lpwstr>
  </property>
  <property fmtid="{D5CDD505-2E9C-101B-9397-08002B2CF9AE}" pid="9" name="ContentTypeId">
    <vt:lpwstr>0x01010047CC6E903F4FC1459ED4A2FA67DD9445</vt:lpwstr>
  </property>
</Properties>
</file>